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745"/>
  </bookViews>
  <sheets>
    <sheet name="Sayfa1" sheetId="1" r:id="rId1"/>
  </sheets>
  <definedNames>
    <definedName name="_xlnm.Print_Area" localSheetId="0">Sayfa1!$A$1:$L$71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<sst xmlns="http://schemas.openxmlformats.org/spreadsheetml/2006/main" count="60" uniqueCount="38">
  <si>
    <t>sayfa 1</t>
  </si>
  <si>
    <t>SİPARİŞ FÖYÜ</t>
  </si>
  <si>
    <t>السيد/ة : بكري بطيخ</t>
  </si>
  <si>
    <t>استمارة الطلب</t>
  </si>
  <si>
    <t>5\2\2026</t>
  </si>
  <si>
    <t xml:space="preserve"> التاريخ</t>
  </si>
  <si>
    <t>الخامة</t>
  </si>
  <si>
    <t>الكمية</t>
  </si>
  <si>
    <t>توب</t>
  </si>
  <si>
    <t>مدينه</t>
  </si>
  <si>
    <t>سعر</t>
  </si>
  <si>
    <t>الإجمالي</t>
  </si>
  <si>
    <t>2\10\2025</t>
  </si>
  <si>
    <t>بيري 7009</t>
  </si>
  <si>
    <t>حلب</t>
  </si>
  <si>
    <t>ترندي3002</t>
  </si>
  <si>
    <t>ترندي جاكار 6008</t>
  </si>
  <si>
    <t>ترندي جاكار 6002</t>
  </si>
  <si>
    <t>ترندي جاكار 6011</t>
  </si>
  <si>
    <t>ترندي جاكار 6012</t>
  </si>
  <si>
    <t>ترندي جاكار 6013</t>
  </si>
  <si>
    <t>5\10\2025</t>
  </si>
  <si>
    <t>اودنغو</t>
  </si>
  <si>
    <t>18\10\2025</t>
  </si>
  <si>
    <t>29\10\2025</t>
  </si>
  <si>
    <t>ترندي جاكار ماكس</t>
  </si>
  <si>
    <t>اسيا 7014</t>
  </si>
  <si>
    <t>مرتجع</t>
  </si>
  <si>
    <t>اجمالي الأمتار</t>
  </si>
  <si>
    <t>6\10\2025</t>
  </si>
  <si>
    <t>16\10\2025</t>
  </si>
  <si>
    <t>11\11\2025</t>
  </si>
  <si>
    <t>27\11\2025</t>
  </si>
  <si>
    <t>11\12\2025</t>
  </si>
  <si>
    <t>30\12\2025</t>
  </si>
  <si>
    <t>11\11\2026</t>
  </si>
  <si>
    <t>21\1\2026</t>
  </si>
  <si>
    <t xml:space="preserve"> 18\10\2025 مرتجع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</si>
</sst>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-&quot;₺&quot;* #,##0.00_-;\-&quot;₺&quot;* #,##0.00_-;_-&quot;₺&quot;* &quot;-&quot;??_-;_-@_-"/>
    <numFmt numFmtId="177" formatCode="_-[$$-1009]* #,##0.00_-;\-[$$-1009]* #,##0.00_-;_-[$$-1009]* &quot;-&quot;??_-;_-@_-"/>
    <numFmt numFmtId="178" formatCode="_-[$$-409]* #,##0.00_ ;_-[$$-409]* \-#,##0.00\ ;_-[$$-409]* &quot;-&quot;??_ ;_-@_ "/>
  </numFmts>
  <fonts count="30">
    <font>
      <sz val="11"/>
      <color theme="1"/>
      <name val="Calibri"/>
      <charset val="162"/>
      <scheme val="minor"/>
    </font>
    <font>
      <b/>
      <sz val="12"/>
      <color theme="1"/>
      <name val="Calibri"/>
      <charset val="162"/>
      <scheme val="minor"/>
    </font>
    <font>
      <b/>
      <sz val="11"/>
      <color theme="1"/>
      <name val="Calibri"/>
      <charset val="162"/>
      <scheme val="minor"/>
    </font>
    <font>
      <b/>
      <i/>
      <sz val="11"/>
      <color theme="1"/>
      <name val="Calibri"/>
      <charset val="162"/>
      <scheme val="minor"/>
    </font>
    <font>
      <b/>
      <sz val="10"/>
      <color theme="1"/>
      <name val="Calibri"/>
      <charset val="162"/>
      <scheme val="minor"/>
    </font>
    <font>
      <b/>
      <sz val="12"/>
      <color rgb="FFFF0000"/>
      <name val="Calibri"/>
      <charset val="162"/>
      <scheme val="minor"/>
    </font>
    <font>
      <b/>
      <sz val="10"/>
      <color rgb="FFFF0000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sz val="11"/>
      <color rgb="FFFF0000"/>
      <name val="Calibri"/>
      <charset val="162"/>
      <scheme val="minor"/>
    </font>
    <font>
      <b/>
      <sz val="12"/>
      <color theme="0"/>
      <name val="Calibri"/>
      <charset val="16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3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7" applyNumberFormat="0" applyFill="0" applyAlignment="0" applyProtection="0">
      <alignment vertical="center"/>
    </xf>
    <xf numFmtId="0" fontId="17" fillId="0" borderId="37" applyNumberFormat="0" applyFill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39" applyNumberFormat="0" applyAlignment="0" applyProtection="0">
      <alignment vertical="center"/>
    </xf>
    <xf numFmtId="0" fontId="20" fillId="10" borderId="40" applyNumberFormat="0" applyAlignment="0" applyProtection="0">
      <alignment vertical="center"/>
    </xf>
    <xf numFmtId="0" fontId="21" fillId="10" borderId="39" applyNumberFormat="0" applyAlignment="0" applyProtection="0">
      <alignment vertical="center"/>
    </xf>
    <xf numFmtId="0" fontId="22" fillId="11" borderId="41" applyNumberFormat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0" fillId="0" borderId="2" xfId="0" applyBorder="1"/>
    <xf numFmtId="0" fontId="2" fillId="0" borderId="2" xfId="0" applyFont="1" applyBorder="1" applyAlignment="1">
      <alignment vertical="center"/>
    </xf>
    <xf numFmtId="0" fontId="0" fillId="0" borderId="3" xfId="0" applyBorder="1"/>
    <xf numFmtId="0" fontId="1" fillId="0" borderId="0" xfId="0" applyFont="1" applyBorder="1" applyAlignment="1">
      <alignment horizontal="right" vertical="center"/>
    </xf>
    <xf numFmtId="0" fontId="0" fillId="0" borderId="4" xfId="0" applyBorder="1"/>
    <xf numFmtId="0" fontId="2" fillId="0" borderId="4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58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58" fontId="4" fillId="0" borderId="11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7" fontId="1" fillId="3" borderId="11" xfId="2" applyNumberFormat="1" applyFont="1" applyFill="1" applyBorder="1" applyAlignment="1">
      <alignment horizontal="center" vertical="center"/>
    </xf>
    <xf numFmtId="178" fontId="1" fillId="0" borderId="11" xfId="2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" fontId="1" fillId="2" borderId="11" xfId="0" applyNumberFormat="1" applyFont="1" applyFill="1" applyBorder="1" applyAlignment="1">
      <alignment horizontal="center" vertical="center"/>
    </xf>
    <xf numFmtId="178" fontId="1" fillId="3" borderId="11" xfId="2" applyNumberFormat="1" applyFont="1" applyFill="1" applyBorder="1" applyAlignment="1">
      <alignment horizontal="center" vertical="center"/>
    </xf>
    <xf numFmtId="58" fontId="6" fillId="0" borderId="11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77" fontId="5" fillId="3" borderId="11" xfId="2" applyNumberFormat="1" applyFont="1" applyFill="1" applyBorder="1" applyAlignment="1">
      <alignment horizontal="center" vertical="center"/>
    </xf>
    <xf numFmtId="178" fontId="5" fillId="0" borderId="11" xfId="2" applyNumberFormat="1" applyFont="1" applyBorder="1" applyAlignment="1">
      <alignment horizontal="center" vertical="center"/>
    </xf>
    <xf numFmtId="178" fontId="7" fillId="0" borderId="11" xfId="2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178" fontId="1" fillId="4" borderId="4" xfId="2" applyNumberFormat="1" applyFont="1" applyFill="1" applyBorder="1" applyAlignment="1">
      <alignment horizontal="center" vertical="center"/>
    </xf>
    <xf numFmtId="178" fontId="1" fillId="4" borderId="5" xfId="2" applyNumberFormat="1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178" fontId="1" fillId="4" borderId="6" xfId="2" applyNumberFormat="1" applyFont="1" applyFill="1" applyBorder="1" applyAlignment="1">
      <alignment horizontal="center" vertical="center"/>
    </xf>
    <xf numFmtId="178" fontId="1" fillId="4" borderId="8" xfId="2" applyNumberFormat="1" applyFont="1" applyFill="1" applyBorder="1" applyAlignment="1">
      <alignment horizontal="center" vertical="center"/>
    </xf>
    <xf numFmtId="4" fontId="1" fillId="0" borderId="23" xfId="0" applyNumberFormat="1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178" fontId="1" fillId="0" borderId="1" xfId="2" applyNumberFormat="1" applyFont="1" applyFill="1" applyBorder="1" applyAlignment="1">
      <alignment horizontal="center" vertical="center"/>
    </xf>
    <xf numFmtId="178" fontId="1" fillId="0" borderId="3" xfId="2" applyNumberFormat="1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178" fontId="1" fillId="0" borderId="6" xfId="2" applyNumberFormat="1" applyFont="1" applyFill="1" applyBorder="1" applyAlignment="1">
      <alignment horizontal="center" vertical="center"/>
    </xf>
    <xf numFmtId="178" fontId="1" fillId="0" borderId="8" xfId="2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178" fontId="1" fillId="5" borderId="31" xfId="2" applyNumberFormat="1" applyFont="1" applyFill="1" applyBorder="1" applyAlignment="1">
      <alignment horizontal="center" vertical="center"/>
    </xf>
    <xf numFmtId="178" fontId="1" fillId="5" borderId="32" xfId="2" applyNumberFormat="1" applyFont="1" applyFill="1" applyBorder="1" applyAlignment="1">
      <alignment horizontal="center" vertical="center"/>
    </xf>
    <xf numFmtId="178" fontId="1" fillId="5" borderId="33" xfId="2" applyNumberFormat="1" applyFont="1" applyFill="1" applyBorder="1" applyAlignment="1">
      <alignment horizontal="center" vertical="center"/>
    </xf>
    <xf numFmtId="178" fontId="1" fillId="5" borderId="28" xfId="2" applyNumberFormat="1" applyFont="1" applyFill="1" applyBorder="1" applyAlignment="1">
      <alignment horizontal="center" vertical="center"/>
    </xf>
    <xf numFmtId="178" fontId="1" fillId="5" borderId="29" xfId="2" applyNumberFormat="1" applyFont="1" applyFill="1" applyBorder="1" applyAlignment="1">
      <alignment horizontal="center" vertical="center"/>
    </xf>
    <xf numFmtId="178" fontId="1" fillId="5" borderId="30" xfId="2" applyNumberFormat="1" applyFont="1" applyFill="1" applyBorder="1" applyAlignment="1">
      <alignment horizontal="center" vertical="center"/>
    </xf>
    <xf numFmtId="58" fontId="0" fillId="0" borderId="34" xfId="0" applyNumberFormat="1" applyBorder="1" applyAlignment="1">
      <alignment horizontal="center" vertical="center"/>
    </xf>
    <xf numFmtId="58" fontId="0" fillId="0" borderId="35" xfId="0" applyNumberFormat="1" applyBorder="1" applyAlignment="1">
      <alignment horizontal="center" vertical="center"/>
    </xf>
    <xf numFmtId="178" fontId="1" fillId="6" borderId="31" xfId="2" applyNumberFormat="1" applyFont="1" applyFill="1" applyBorder="1" applyAlignment="1">
      <alignment horizontal="center" vertical="center"/>
    </xf>
    <xf numFmtId="178" fontId="1" fillId="6" borderId="32" xfId="2" applyNumberFormat="1" applyFont="1" applyFill="1" applyBorder="1" applyAlignment="1">
      <alignment horizontal="center" vertical="center"/>
    </xf>
    <xf numFmtId="178" fontId="1" fillId="6" borderId="33" xfId="2" applyNumberFormat="1" applyFont="1" applyFill="1" applyBorder="1" applyAlignment="1">
      <alignment horizontal="center" vertical="center"/>
    </xf>
    <xf numFmtId="58" fontId="0" fillId="0" borderId="20" xfId="0" applyNumberFormat="1" applyBorder="1" applyAlignment="1">
      <alignment horizontal="center" vertical="center"/>
    </xf>
    <xf numFmtId="58" fontId="0" fillId="0" borderId="22" xfId="0" applyNumberFormat="1" applyBorder="1" applyAlignment="1">
      <alignment horizontal="center" vertical="center"/>
    </xf>
    <xf numFmtId="178" fontId="1" fillId="6" borderId="28" xfId="2" applyNumberFormat="1" applyFont="1" applyFill="1" applyBorder="1" applyAlignment="1">
      <alignment horizontal="center" vertical="center"/>
    </xf>
    <xf numFmtId="178" fontId="1" fillId="6" borderId="29" xfId="2" applyNumberFormat="1" applyFont="1" applyFill="1" applyBorder="1" applyAlignment="1">
      <alignment horizontal="center" vertical="center"/>
    </xf>
    <xf numFmtId="178" fontId="1" fillId="6" borderId="30" xfId="2" applyNumberFormat="1" applyFont="1" applyFill="1" applyBorder="1" applyAlignment="1">
      <alignment horizontal="center" vertical="center"/>
    </xf>
    <xf numFmtId="58" fontId="8" fillId="0" borderId="34" xfId="0" applyNumberFormat="1" applyFont="1" applyBorder="1" applyAlignment="1">
      <alignment horizontal="center" vertical="center"/>
    </xf>
    <xf numFmtId="58" fontId="8" fillId="0" borderId="35" xfId="0" applyNumberFormat="1" applyFont="1" applyBorder="1" applyAlignment="1">
      <alignment horizontal="center" vertical="center"/>
    </xf>
    <xf numFmtId="178" fontId="5" fillId="6" borderId="31" xfId="2" applyNumberFormat="1" applyFont="1" applyFill="1" applyBorder="1" applyAlignment="1">
      <alignment horizontal="center" vertical="center"/>
    </xf>
    <xf numFmtId="178" fontId="5" fillId="6" borderId="32" xfId="2" applyNumberFormat="1" applyFont="1" applyFill="1" applyBorder="1" applyAlignment="1">
      <alignment horizontal="center" vertical="center"/>
    </xf>
    <xf numFmtId="178" fontId="5" fillId="6" borderId="33" xfId="2" applyNumberFormat="1" applyFont="1" applyFill="1" applyBorder="1" applyAlignment="1">
      <alignment horizontal="center" vertical="center"/>
    </xf>
    <xf numFmtId="58" fontId="8" fillId="0" borderId="20" xfId="0" applyNumberFormat="1" applyFont="1" applyBorder="1" applyAlignment="1">
      <alignment horizontal="center" vertical="center"/>
    </xf>
    <xf numFmtId="58" fontId="8" fillId="0" borderId="22" xfId="0" applyNumberFormat="1" applyFont="1" applyBorder="1" applyAlignment="1">
      <alignment horizontal="center" vertical="center"/>
    </xf>
    <xf numFmtId="178" fontId="5" fillId="6" borderId="28" xfId="2" applyNumberFormat="1" applyFont="1" applyFill="1" applyBorder="1" applyAlignment="1">
      <alignment horizontal="center" vertical="center"/>
    </xf>
    <xf numFmtId="178" fontId="5" fillId="6" borderId="29" xfId="2" applyNumberFormat="1" applyFont="1" applyFill="1" applyBorder="1" applyAlignment="1">
      <alignment horizontal="center" vertical="center"/>
    </xf>
    <xf numFmtId="178" fontId="5" fillId="6" borderId="30" xfId="2" applyNumberFormat="1" applyFont="1" applyFill="1" applyBorder="1" applyAlignment="1">
      <alignment horizontal="center" vertical="center"/>
    </xf>
    <xf numFmtId="178" fontId="9" fillId="7" borderId="31" xfId="2" applyNumberFormat="1" applyFont="1" applyFill="1" applyBorder="1" applyAlignment="1">
      <alignment horizontal="center" vertical="center"/>
    </xf>
    <xf numFmtId="178" fontId="9" fillId="7" borderId="32" xfId="2" applyNumberFormat="1" applyFont="1" applyFill="1" applyBorder="1" applyAlignment="1">
      <alignment horizontal="center" vertical="center"/>
    </xf>
    <xf numFmtId="178" fontId="9" fillId="7" borderId="33" xfId="2" applyNumberFormat="1" applyFont="1" applyFill="1" applyBorder="1" applyAlignment="1">
      <alignment horizontal="center" vertical="center"/>
    </xf>
    <xf numFmtId="178" fontId="9" fillId="7" borderId="28" xfId="2" applyNumberFormat="1" applyFont="1" applyFill="1" applyBorder="1" applyAlignment="1">
      <alignment horizontal="center" vertical="center"/>
    </xf>
    <xf numFmtId="178" fontId="9" fillId="7" borderId="29" xfId="2" applyNumberFormat="1" applyFont="1" applyFill="1" applyBorder="1" applyAlignment="1">
      <alignment horizontal="center" vertical="center"/>
    </xf>
    <xf numFmtId="178" fontId="9" fillId="7" borderId="30" xfId="2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1945"/>
          <a:ext cx="6791960" cy="988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R67"/>
  <sheetViews>
    <sheetView tabSelected="1" zoomScale="70" zoomScaleNormal="70" topLeftCell="A3" workbookViewId="0">
      <selection activeCell="H10" sqref="H10:I10"/>
    </sheetView>
  </sheetViews>
  <sheetFormatPr defaultColWidth="9" defaultRowHeight="14.25"/>
  <cols>
    <col min="1" max="1" width="13.2477064220183" customWidth="1"/>
    <col min="2" max="2" width="19.7522935779816" style="1" customWidth="1"/>
    <col min="3" max="3" width="10.8348623853211" style="1" customWidth="1"/>
    <col min="4" max="4" width="8.57798165137615" style="1" customWidth="1"/>
    <col min="5" max="5" width="3.8348623853211" style="1" customWidth="1"/>
    <col min="6" max="6" width="7.1651376146789" style="1" customWidth="1"/>
    <col min="7" max="7" width="8.8348623853211" style="1" customWidth="1"/>
    <col min="8" max="8" width="8.24770642201835" customWidth="1"/>
    <col min="11" max="11" width="4" customWidth="1"/>
  </cols>
  <sheetData>
    <row r="2" ht="15" customHeight="1"/>
    <row r="3" ht="15" customHeight="1"/>
    <row r="4" ht="15" customHeight="1" spans="1:18">
      <c r="H4" t="s">
        <v>0</v>
      </c>
    </row>
    <row r="5" ht="15" customHeight="1" spans="1:18">
      <c r="B5" s="2" t="s">
        <v>1</v>
      </c>
      <c r="C5" s="2"/>
      <c r="D5" s="2"/>
      <c r="E5" s="2"/>
      <c r="F5" s="2"/>
      <c r="G5" s="2"/>
      <c r="H5" s="3"/>
      <c r="I5" s="3"/>
      <c r="O5" s="4"/>
      <c r="P5" s="4"/>
      <c r="Q5" s="4"/>
    </row>
    <row r="6" ht="15" customHeight="1" spans="1:18">
      <c r="B6" s="2"/>
      <c r="C6" s="2"/>
      <c r="D6" s="2"/>
      <c r="E6" s="2"/>
      <c r="F6" s="2"/>
      <c r="G6" s="2"/>
      <c r="H6" s="3"/>
      <c r="I6" s="3"/>
      <c r="O6" s="4"/>
      <c r="P6" s="4"/>
      <c r="Q6" s="4"/>
    </row>
    <row r="7" ht="17.05" spans="1:18">
      <c r="B7" s="2"/>
      <c r="C7" s="2"/>
      <c r="D7" s="2"/>
      <c r="E7" s="2"/>
      <c r="F7" s="2"/>
      <c r="G7" s="2"/>
      <c r="H7" s="3"/>
      <c r="I7" s="3"/>
      <c r="O7" s="5"/>
      <c r="P7" s="4"/>
      <c r="Q7" s="4"/>
    </row>
    <row r="8" ht="15.75" customHeight="1" spans="1:18">
      <c r="A8" s="6"/>
      <c r="B8" s="7" t="s">
        <v>2</v>
      </c>
      <c r="C8" s="8"/>
      <c r="D8" s="8"/>
      <c r="E8" s="8"/>
      <c r="F8" s="8"/>
      <c r="G8" s="9"/>
      <c r="H8" s="10"/>
      <c r="I8" s="11"/>
      <c r="J8" s="12"/>
      <c r="K8" s="4"/>
      <c r="L8" s="4"/>
      <c r="O8" s="13"/>
      <c r="P8" s="4"/>
      <c r="Q8" s="4"/>
    </row>
    <row r="9" ht="15.75" customHeight="1" spans="1:18">
      <c r="A9" s="14"/>
      <c r="B9" s="15"/>
      <c r="C9" s="16"/>
      <c r="D9" s="16"/>
      <c r="E9" s="16"/>
      <c r="F9" s="16"/>
      <c r="G9" s="17"/>
      <c r="H9" s="18" t="s">
        <v>3</v>
      </c>
      <c r="I9" s="18"/>
      <c r="J9" s="19"/>
      <c r="K9" s="5"/>
      <c r="L9" s="4"/>
      <c r="O9" s="5"/>
      <c r="P9" s="4"/>
      <c r="Q9" s="4"/>
      <c r="R9" s="4"/>
    </row>
    <row r="10" ht="15.75" customHeight="1" spans="1:18">
      <c r="A10" s="14"/>
      <c r="B10" s="15"/>
      <c r="C10" s="16"/>
      <c r="D10" s="16"/>
      <c r="E10" s="16"/>
      <c r="F10" s="16"/>
      <c r="G10" s="17"/>
      <c r="H10" s="20" t="s">
        <v>4</v>
      </c>
      <c r="I10" s="21"/>
      <c r="J10" s="22"/>
      <c r="K10" s="4"/>
      <c r="L10" s="4"/>
      <c r="O10" s="5"/>
      <c r="P10" s="18"/>
      <c r="Q10" s="18"/>
      <c r="R10" s="4"/>
    </row>
    <row r="11" ht="9.75" customHeight="1" spans="1:18">
      <c r="A11" s="23"/>
      <c r="B11" s="24"/>
      <c r="C11" s="25"/>
      <c r="D11" s="25"/>
      <c r="E11" s="25"/>
      <c r="F11" s="25"/>
      <c r="G11" s="26"/>
      <c r="H11" s="27"/>
      <c r="I11" s="27"/>
      <c r="J11" s="28"/>
      <c r="K11" s="4"/>
      <c r="L11" s="4"/>
      <c r="O11" s="4"/>
      <c r="P11" s="4"/>
      <c r="Q11" s="4"/>
      <c r="R11" s="4"/>
    </row>
    <row r="12" ht="0.75" customHeight="1" spans="1:18">
      <c r="B12" s="29"/>
      <c r="C12" s="30"/>
      <c r="D12" s="30"/>
      <c r="E12" s="31"/>
      <c r="F12" s="5"/>
      <c r="G12" s="30"/>
      <c r="O12" s="4"/>
      <c r="P12" s="4"/>
      <c r="Q12" s="4"/>
    </row>
    <row r="13" ht="16.3" spans="1:18">
      <c r="A13" s="32" t="s">
        <v>5</v>
      </c>
      <c r="B13" s="33" t="s">
        <v>6</v>
      </c>
      <c r="C13" s="34" t="s">
        <v>7</v>
      </c>
      <c r="D13" s="35"/>
      <c r="E13" s="36"/>
      <c r="F13" s="36" t="s">
        <v>8</v>
      </c>
      <c r="G13" s="37" t="s">
        <v>9</v>
      </c>
      <c r="H13" s="38" t="s">
        <v>10</v>
      </c>
      <c r="I13" s="37" t="s">
        <v>11</v>
      </c>
      <c r="J13" s="37"/>
      <c r="O13" s="4"/>
      <c r="P13" s="4"/>
      <c r="Q13" s="4"/>
    </row>
    <row r="14" ht="15" customHeight="1" spans="1:18">
      <c r="A14" s="39" t="s">
        <v>12</v>
      </c>
      <c r="B14" s="40" t="s">
        <v>13</v>
      </c>
      <c r="C14" s="40">
        <v>257.8</v>
      </c>
      <c r="D14" s="40"/>
      <c r="E14" s="40"/>
      <c r="F14" s="40">
        <v>4</v>
      </c>
      <c r="G14" s="41" t="s">
        <v>14</v>
      </c>
      <c r="H14" s="42">
        <v>2.95</v>
      </c>
      <c r="I14" s="43">
        <f>C14*H14</f>
        <v>760.51</v>
      </c>
      <c r="J14" s="43"/>
    </row>
    <row r="15" ht="15" customHeight="1" spans="1:18">
      <c r="A15" s="44"/>
      <c r="B15" s="40"/>
      <c r="C15" s="40"/>
      <c r="D15" s="40"/>
      <c r="E15" s="40"/>
      <c r="F15" s="40"/>
      <c r="G15" s="41"/>
      <c r="H15" s="42"/>
      <c r="I15" s="43"/>
      <c r="J15" s="43"/>
    </row>
    <row r="16" ht="15" customHeight="1" spans="1:18">
      <c r="A16" s="39" t="s">
        <v>12</v>
      </c>
      <c r="B16" s="45" t="s">
        <v>15</v>
      </c>
      <c r="C16" s="40">
        <v>245.7</v>
      </c>
      <c r="D16" s="40"/>
      <c r="E16" s="40"/>
      <c r="F16" s="40">
        <v>4</v>
      </c>
      <c r="G16" s="41" t="s">
        <v>14</v>
      </c>
      <c r="H16" s="42">
        <v>2.95</v>
      </c>
      <c r="I16" s="43">
        <f>C16*H16</f>
        <v>724.815</v>
      </c>
      <c r="J16" s="43"/>
    </row>
    <row r="17" ht="15" customHeight="1" spans="1:12">
      <c r="A17" s="44"/>
      <c r="B17" s="45"/>
      <c r="C17" s="40"/>
      <c r="D17" s="40"/>
      <c r="E17" s="40"/>
      <c r="F17" s="40"/>
      <c r="G17" s="41"/>
      <c r="H17" s="42"/>
      <c r="I17" s="43"/>
      <c r="J17" s="43"/>
    </row>
    <row r="18" ht="15" customHeight="1" spans="1:12">
      <c r="A18" s="39" t="s">
        <v>12</v>
      </c>
      <c r="B18" s="45" t="s">
        <v>16</v>
      </c>
      <c r="C18" s="46">
        <v>255.7</v>
      </c>
      <c r="D18" s="46"/>
      <c r="E18" s="46"/>
      <c r="F18" s="40">
        <v>4</v>
      </c>
      <c r="G18" s="41" t="s">
        <v>14</v>
      </c>
      <c r="H18" s="42">
        <v>2.95</v>
      </c>
      <c r="I18" s="43">
        <f>C18*H18</f>
        <v>754.315</v>
      </c>
      <c r="J18" s="43"/>
    </row>
    <row r="19" ht="15" customHeight="1" spans="1:12">
      <c r="A19" s="44"/>
      <c r="B19" s="45"/>
      <c r="C19" s="46"/>
      <c r="D19" s="46"/>
      <c r="E19" s="46"/>
      <c r="F19" s="40"/>
      <c r="G19" s="41"/>
      <c r="H19" s="42"/>
      <c r="I19" s="43"/>
      <c r="J19" s="43"/>
    </row>
    <row r="20" ht="15" customHeight="1" spans="1:12">
      <c r="A20" s="39" t="s">
        <v>12</v>
      </c>
      <c r="B20" s="40" t="s">
        <v>17</v>
      </c>
      <c r="C20" s="40">
        <v>188.3</v>
      </c>
      <c r="D20" s="40"/>
      <c r="E20" s="40"/>
      <c r="F20" s="40">
        <v>4</v>
      </c>
      <c r="G20" s="41" t="s">
        <v>14</v>
      </c>
      <c r="H20" s="42">
        <v>2.95</v>
      </c>
      <c r="I20" s="43">
        <f>C20*H20</f>
        <v>555.485</v>
      </c>
      <c r="J20" s="43"/>
    </row>
    <row r="21" ht="15" customHeight="1" spans="1:12">
      <c r="A21" s="44"/>
      <c r="B21" s="40"/>
      <c r="C21" s="40"/>
      <c r="D21" s="40"/>
      <c r="E21" s="40"/>
      <c r="F21" s="40"/>
      <c r="G21" s="41"/>
      <c r="H21" s="42"/>
      <c r="I21" s="43"/>
      <c r="J21" s="43"/>
    </row>
    <row r="22" ht="15" customHeight="1" spans="1:12">
      <c r="A22" s="39" t="s">
        <v>12</v>
      </c>
      <c r="B22" s="45" t="s">
        <v>18</v>
      </c>
      <c r="C22" s="40">
        <v>290</v>
      </c>
      <c r="D22" s="40"/>
      <c r="E22" s="40"/>
      <c r="F22" s="40">
        <v>7</v>
      </c>
      <c r="G22" s="41" t="s">
        <v>14</v>
      </c>
      <c r="H22" s="42">
        <v>2.95</v>
      </c>
      <c r="I22" s="43">
        <f>C22*H22</f>
        <v>855.5</v>
      </c>
      <c r="J22" s="43"/>
      <c r="L22" s="4"/>
    </row>
    <row r="23" ht="15" customHeight="1" spans="1:12">
      <c r="A23" s="44"/>
      <c r="B23" s="45"/>
      <c r="C23" s="40"/>
      <c r="D23" s="40"/>
      <c r="E23" s="40"/>
      <c r="F23" s="40"/>
      <c r="G23" s="41"/>
      <c r="H23" s="42"/>
      <c r="I23" s="43"/>
      <c r="J23" s="43"/>
    </row>
    <row r="24" ht="15" customHeight="1" spans="1:12">
      <c r="A24" s="39" t="s">
        <v>12</v>
      </c>
      <c r="B24" s="45" t="s">
        <v>19</v>
      </c>
      <c r="C24" s="40">
        <v>230</v>
      </c>
      <c r="D24" s="40"/>
      <c r="E24" s="40"/>
      <c r="F24" s="40">
        <v>5</v>
      </c>
      <c r="G24" s="41" t="s">
        <v>14</v>
      </c>
      <c r="H24" s="42">
        <v>2.95</v>
      </c>
      <c r="I24" s="43">
        <f>C24*H24</f>
        <v>678.5</v>
      </c>
      <c r="J24" s="43"/>
    </row>
    <row r="25" ht="15" customHeight="1" spans="1:12">
      <c r="A25" s="44"/>
      <c r="B25" s="45"/>
      <c r="C25" s="40"/>
      <c r="D25" s="40"/>
      <c r="E25" s="40"/>
      <c r="F25" s="40"/>
      <c r="G25" s="41"/>
      <c r="H25" s="42"/>
      <c r="I25" s="43"/>
      <c r="J25" s="43"/>
    </row>
    <row r="26" ht="15" customHeight="1" spans="1:12">
      <c r="A26" s="39" t="s">
        <v>12</v>
      </c>
      <c r="B26" s="45" t="s">
        <v>20</v>
      </c>
      <c r="C26" s="40">
        <v>252.2</v>
      </c>
      <c r="D26" s="40"/>
      <c r="E26" s="40"/>
      <c r="F26" s="40">
        <v>4</v>
      </c>
      <c r="G26" s="41" t="s">
        <v>14</v>
      </c>
      <c r="H26" s="47">
        <v>2.95</v>
      </c>
      <c r="I26" s="43">
        <f t="shared" ref="I26" si="0">C26*H26</f>
        <v>743.99</v>
      </c>
      <c r="J26" s="43"/>
    </row>
    <row r="27" ht="15" customHeight="1" spans="1:12">
      <c r="A27" s="44"/>
      <c r="B27" s="45"/>
      <c r="C27" s="40"/>
      <c r="D27" s="40"/>
      <c r="E27" s="40"/>
      <c r="F27" s="40"/>
      <c r="G27" s="41"/>
      <c r="H27" s="47"/>
      <c r="I27" s="43"/>
      <c r="J27" s="43"/>
    </row>
    <row r="28" ht="15" customHeight="1" spans="1:12">
      <c r="A28" s="39" t="s">
        <v>21</v>
      </c>
      <c r="B28" s="45" t="s">
        <v>22</v>
      </c>
      <c r="C28" s="40">
        <v>376.45</v>
      </c>
      <c r="D28" s="40"/>
      <c r="E28" s="40"/>
      <c r="F28" s="40">
        <v>7</v>
      </c>
      <c r="G28" s="41" t="s">
        <v>14</v>
      </c>
      <c r="H28" s="47">
        <v>2.95</v>
      </c>
      <c r="I28" s="43">
        <f t="shared" ref="I28" si="1">C28*H28</f>
        <v>1110.5275</v>
      </c>
      <c r="J28" s="43"/>
    </row>
    <row r="29" ht="15" customHeight="1" spans="1:12">
      <c r="A29" s="44"/>
      <c r="B29" s="45"/>
      <c r="C29" s="40"/>
      <c r="D29" s="40"/>
      <c r="E29" s="40"/>
      <c r="F29" s="40"/>
      <c r="G29" s="41"/>
      <c r="H29" s="47"/>
      <c r="I29" s="43"/>
      <c r="J29" s="43"/>
    </row>
    <row r="30" ht="15" customHeight="1" spans="1:12">
      <c r="A30" s="39" t="s">
        <v>23</v>
      </c>
      <c r="B30" s="40" t="s">
        <v>17</v>
      </c>
      <c r="C30" s="40">
        <v>52.9</v>
      </c>
      <c r="D30" s="40"/>
      <c r="E30" s="40"/>
      <c r="F30" s="40">
        <v>1</v>
      </c>
      <c r="G30" s="41" t="s">
        <v>14</v>
      </c>
      <c r="H30" s="42">
        <v>2.95</v>
      </c>
      <c r="I30" s="43">
        <v>156.05</v>
      </c>
      <c r="J30" s="43"/>
    </row>
    <row r="31" ht="15" customHeight="1" spans="1:12">
      <c r="A31" s="44"/>
      <c r="B31" s="40"/>
      <c r="C31" s="40"/>
      <c r="D31" s="40"/>
      <c r="E31" s="40"/>
      <c r="F31" s="40"/>
      <c r="G31" s="41"/>
      <c r="H31" s="42"/>
      <c r="I31" s="43"/>
      <c r="J31" s="43"/>
    </row>
    <row r="32" ht="15" customHeight="1" spans="1:12">
      <c r="A32" s="39" t="s">
        <v>24</v>
      </c>
      <c r="B32" s="40" t="s">
        <v>25</v>
      </c>
      <c r="C32" s="40">
        <v>85.5</v>
      </c>
      <c r="D32" s="40"/>
      <c r="E32" s="40"/>
      <c r="F32" s="40">
        <v>3</v>
      </c>
      <c r="G32" s="41" t="s">
        <v>14</v>
      </c>
      <c r="H32" s="42">
        <v>2.95</v>
      </c>
      <c r="I32" s="43">
        <v>252.22</v>
      </c>
      <c r="J32" s="43"/>
    </row>
    <row r="33" ht="15" customHeight="1" spans="1:12">
      <c r="A33" s="44"/>
      <c r="B33" s="40"/>
      <c r="C33" s="40"/>
      <c r="D33" s="40"/>
      <c r="E33" s="40"/>
      <c r="F33" s="40"/>
      <c r="G33" s="41"/>
      <c r="H33" s="42"/>
      <c r="I33" s="43"/>
      <c r="J33" s="43"/>
    </row>
    <row r="34" ht="15" customHeight="1" spans="1:12">
      <c r="A34" s="48" t="s">
        <v>12</v>
      </c>
      <c r="B34" s="49" t="s">
        <v>26</v>
      </c>
      <c r="C34" s="49">
        <v>386.2</v>
      </c>
      <c r="D34" s="49"/>
      <c r="E34" s="49"/>
      <c r="F34" s="49">
        <v>6</v>
      </c>
      <c r="G34" s="41" t="s">
        <v>14</v>
      </c>
      <c r="H34" s="50">
        <v>2.95</v>
      </c>
      <c r="I34" s="51">
        <f>C34*H34</f>
        <v>1139.29</v>
      </c>
      <c r="J34" s="51"/>
      <c r="K34" s="52" t="s">
        <v>27</v>
      </c>
      <c r="L34" s="51"/>
    </row>
    <row r="35" ht="15" customHeight="1" spans="1:12">
      <c r="A35" s="44"/>
      <c r="B35" s="49"/>
      <c r="C35" s="49"/>
      <c r="D35" s="49"/>
      <c r="E35" s="49"/>
      <c r="F35" s="49"/>
      <c r="G35" s="41"/>
      <c r="H35" s="50"/>
      <c r="I35" s="51"/>
      <c r="J35" s="51"/>
      <c r="K35" s="51"/>
      <c r="L35" s="51"/>
    </row>
    <row r="36" ht="15.75" customHeight="1" spans="1:12">
      <c r="C36" s="53" t="s">
        <v>28</v>
      </c>
      <c r="D36" s="54"/>
      <c r="E36" s="54"/>
      <c r="F36" s="55" t="s">
        <v>8</v>
      </c>
      <c r="I36" s="56" t="s">
        <v>11</v>
      </c>
      <c r="J36" s="57"/>
    </row>
    <row r="37" ht="15.75" customHeight="1" spans="1:12">
      <c r="C37" s="58"/>
      <c r="D37" s="59"/>
      <c r="E37" s="59"/>
      <c r="F37" s="60"/>
      <c r="I37" s="61"/>
      <c r="J37" s="62"/>
    </row>
    <row r="38" spans="1:12">
      <c r="C38" s="63">
        <v>2620.75</v>
      </c>
      <c r="D38" s="64"/>
      <c r="E38" s="65"/>
      <c r="F38" s="66">
        <v>49</v>
      </c>
      <c r="I38" s="67">
        <v>7731.2</v>
      </c>
      <c r="J38" s="68"/>
    </row>
    <row r="39" ht="15" spans="1:12">
      <c r="C39" s="69"/>
      <c r="D39" s="70"/>
      <c r="E39" s="60"/>
      <c r="F39" s="71"/>
      <c r="I39" s="72"/>
      <c r="J39" s="73"/>
    </row>
    <row r="40" ht="15" customHeight="1"/>
    <row r="41" ht="15" customHeight="1" spans="1:12">
      <c r="G41"/>
    </row>
    <row r="42" ht="15" customHeight="1" spans="1:12">
      <c r="E42" s="74" t="s">
        <v>11</v>
      </c>
      <c r="F42" s="75"/>
      <c r="G42" s="75"/>
      <c r="H42" s="76"/>
    </row>
    <row r="43" ht="15" customHeight="1" spans="1:12">
      <c r="E43" s="77"/>
      <c r="F43" s="78"/>
      <c r="G43" s="78"/>
      <c r="H43" s="79"/>
    </row>
    <row r="44" ht="15" customHeight="1" spans="1:12">
      <c r="E44" s="80">
        <v>7731.2</v>
      </c>
      <c r="F44" s="81"/>
      <c r="G44" s="81"/>
      <c r="H44" s="82"/>
    </row>
    <row r="45" ht="15" customHeight="1" spans="1:12">
      <c r="E45" s="83"/>
      <c r="F45" s="84"/>
      <c r="G45" s="84"/>
      <c r="H45" s="85"/>
    </row>
    <row r="46" ht="15" customHeight="1" spans="1:12">
      <c r="C46" s="86" t="s">
        <v>29</v>
      </c>
      <c r="D46" s="87"/>
      <c r="E46" s="88">
        <v>500</v>
      </c>
      <c r="F46" s="89"/>
      <c r="G46" s="89"/>
      <c r="H46" s="90"/>
    </row>
    <row r="47" ht="15" customHeight="1" spans="1:12">
      <c r="C47" s="91"/>
      <c r="D47" s="92"/>
      <c r="E47" s="93"/>
      <c r="F47" s="94"/>
      <c r="G47" s="94"/>
      <c r="H47" s="95"/>
    </row>
    <row r="48" ht="15" customHeight="1" spans="1:12">
      <c r="C48" s="86" t="s">
        <v>30</v>
      </c>
      <c r="D48" s="87"/>
      <c r="E48" s="88">
        <v>500</v>
      </c>
      <c r="F48" s="89"/>
      <c r="G48" s="89"/>
      <c r="H48" s="90"/>
    </row>
    <row r="49" ht="15" customHeight="1" spans="3:8">
      <c r="C49" s="91"/>
      <c r="D49" s="92"/>
      <c r="E49" s="93"/>
      <c r="F49" s="94"/>
      <c r="G49" s="94"/>
      <c r="H49" s="95"/>
    </row>
    <row r="50" ht="15" customHeight="1" spans="3:8">
      <c r="C50" s="86" t="s">
        <v>31</v>
      </c>
      <c r="D50" s="87"/>
      <c r="E50" s="88">
        <v>500</v>
      </c>
      <c r="F50" s="89"/>
      <c r="G50" s="89"/>
      <c r="H50" s="90"/>
    </row>
    <row r="51" ht="15" customHeight="1" spans="3:8">
      <c r="C51" s="91"/>
      <c r="D51" s="92"/>
      <c r="E51" s="93"/>
      <c r="F51" s="94"/>
      <c r="G51" s="94"/>
      <c r="H51" s="95"/>
    </row>
    <row r="52" ht="15" customHeight="1" spans="3:8">
      <c r="C52" s="86" t="s">
        <v>32</v>
      </c>
      <c r="D52" s="87"/>
      <c r="E52" s="88">
        <v>500</v>
      </c>
      <c r="F52" s="89"/>
      <c r="G52" s="89"/>
      <c r="H52" s="90"/>
    </row>
    <row r="53" ht="15" customHeight="1" spans="3:8">
      <c r="C53" s="91"/>
      <c r="D53" s="92"/>
      <c r="E53" s="93"/>
      <c r="F53" s="94"/>
      <c r="G53" s="94"/>
      <c r="H53" s="95"/>
    </row>
    <row r="54" ht="15" customHeight="1" spans="3:8">
      <c r="C54" s="86" t="s">
        <v>33</v>
      </c>
      <c r="D54" s="87"/>
      <c r="E54" s="88">
        <v>500</v>
      </c>
      <c r="F54" s="89"/>
      <c r="G54" s="89"/>
      <c r="H54" s="90"/>
    </row>
    <row r="55" ht="15" customHeight="1" spans="3:8">
      <c r="C55" s="91"/>
      <c r="D55" s="92"/>
      <c r="E55" s="93"/>
      <c r="F55" s="94"/>
      <c r="G55" s="94"/>
      <c r="H55" s="95"/>
    </row>
    <row r="56" ht="15" customHeight="1" spans="3:8">
      <c r="C56" s="86" t="s">
        <v>34</v>
      </c>
      <c r="D56" s="87"/>
      <c r="E56" s="88">
        <v>500</v>
      </c>
      <c r="F56" s="89"/>
      <c r="G56" s="89"/>
      <c r="H56" s="90"/>
    </row>
    <row r="57" ht="15" customHeight="1" spans="3:8">
      <c r="C57" s="91"/>
      <c r="D57" s="92"/>
      <c r="E57" s="93"/>
      <c r="F57" s="94"/>
      <c r="G57" s="94"/>
      <c r="H57" s="95"/>
    </row>
    <row r="58" ht="15" customHeight="1" spans="3:8">
      <c r="C58" s="86" t="s">
        <v>35</v>
      </c>
      <c r="D58" s="87"/>
      <c r="E58" s="88">
        <v>400</v>
      </c>
      <c r="F58" s="89"/>
      <c r="G58" s="89"/>
      <c r="H58" s="90"/>
    </row>
    <row r="59" ht="15" customHeight="1" spans="3:8">
      <c r="C59" s="91"/>
      <c r="D59" s="92"/>
      <c r="E59" s="93"/>
      <c r="F59" s="94"/>
      <c r="G59" s="94"/>
      <c r="H59" s="95"/>
    </row>
    <row r="60" ht="15" customHeight="1" spans="3:8">
      <c r="C60" s="86" t="s">
        <v>36</v>
      </c>
      <c r="D60" s="87"/>
      <c r="E60" s="88">
        <v>400</v>
      </c>
      <c r="F60" s="89"/>
      <c r="G60" s="89"/>
      <c r="H60" s="90"/>
    </row>
    <row r="61" ht="15" customHeight="1" spans="3:8">
      <c r="C61" s="91"/>
      <c r="D61" s="92"/>
      <c r="E61" s="93"/>
      <c r="F61" s="94"/>
      <c r="G61" s="94"/>
      <c r="H61" s="95"/>
    </row>
    <row r="62" ht="15" customHeight="1" spans="3:8">
      <c r="C62" s="86" t="s">
        <v>4</v>
      </c>
      <c r="D62" s="87"/>
      <c r="E62" s="88">
        <v>300</v>
      </c>
      <c r="F62" s="89"/>
      <c r="G62" s="89"/>
      <c r="H62" s="90"/>
    </row>
    <row r="63" ht="15" customHeight="1" spans="3:8">
      <c r="C63" s="91"/>
      <c r="D63" s="92"/>
      <c r="E63" s="93"/>
      <c r="F63" s="94"/>
      <c r="G63" s="94"/>
      <c r="H63" s="95"/>
    </row>
    <row r="64" ht="15" customHeight="1" spans="3:8">
      <c r="C64" s="96" t="s">
        <v>37</v>
      </c>
      <c r="D64" s="97"/>
      <c r="E64" s="98">
        <v>1139.29</v>
      </c>
      <c r="F64" s="99"/>
      <c r="G64" s="99"/>
      <c r="H64" s="100"/>
    </row>
    <row r="65" ht="15" customHeight="1" spans="3:8">
      <c r="C65" s="101"/>
      <c r="D65" s="102"/>
      <c r="E65" s="103"/>
      <c r="F65" s="104"/>
      <c r="G65" s="104"/>
      <c r="H65" s="105"/>
    </row>
    <row r="66" ht="15.75" customHeight="1" spans="3:8">
      <c r="C66" s="86"/>
      <c r="D66" s="87"/>
      <c r="E66" s="106">
        <v>2491.2</v>
      </c>
      <c r="F66" s="107"/>
      <c r="G66" s="107"/>
      <c r="H66" s="108"/>
    </row>
    <row r="67" ht="15.75" customHeight="1" spans="3:8">
      <c r="C67" s="91"/>
      <c r="D67" s="92"/>
      <c r="E67" s="109"/>
      <c r="F67" s="110"/>
      <c r="G67" s="110"/>
      <c r="H67" s="111"/>
    </row>
  </sheetData>
  <mergeCells count="115">
    <mergeCell ref="H9:I9"/>
    <mergeCell ref="H10:I10"/>
    <mergeCell ref="P10:Q10"/>
    <mergeCell ref="C13:E13"/>
    <mergeCell ref="I13:J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C58:D59"/>
    <mergeCell ref="C60:D61"/>
    <mergeCell ref="E60:H61"/>
    <mergeCell ref="C48:D49"/>
    <mergeCell ref="E48:H49"/>
    <mergeCell ref="C66:D67"/>
    <mergeCell ref="E66:H67"/>
    <mergeCell ref="C36:E37"/>
    <mergeCell ref="I38:J39"/>
    <mergeCell ref="C38:E39"/>
    <mergeCell ref="E42:H43"/>
    <mergeCell ref="E44:H45"/>
    <mergeCell ref="E64:H65"/>
    <mergeCell ref="C64:D65"/>
    <mergeCell ref="C46:D47"/>
    <mergeCell ref="E46:H47"/>
    <mergeCell ref="C62:D63"/>
    <mergeCell ref="E62:H63"/>
    <mergeCell ref="C56:D57"/>
    <mergeCell ref="E56:H57"/>
    <mergeCell ref="B5:G7"/>
    <mergeCell ref="C14:E15"/>
    <mergeCell ref="C16:E17"/>
    <mergeCell ref="B8:G11"/>
    <mergeCell ref="I34:J35"/>
    <mergeCell ref="K34:L35"/>
    <mergeCell ref="I32:J33"/>
    <mergeCell ref="I16:J17"/>
    <mergeCell ref="I14:J15"/>
    <mergeCell ref="I18:J19"/>
    <mergeCell ref="I22:J23"/>
    <mergeCell ref="I20:J21"/>
    <mergeCell ref="I24:J25"/>
    <mergeCell ref="I26:J27"/>
    <mergeCell ref="I28:J29"/>
    <mergeCell ref="C34:E35"/>
    <mergeCell ref="C32:E33"/>
    <mergeCell ref="C28:E29"/>
    <mergeCell ref="C20:E21"/>
    <mergeCell ref="C24:E25"/>
    <mergeCell ref="C22:E23"/>
    <mergeCell ref="C26:E27"/>
    <mergeCell ref="C30:E31"/>
    <mergeCell ref="I30:J31"/>
    <mergeCell ref="E58:H59"/>
    <mergeCell ref="C18:E19"/>
    <mergeCell ref="C54:D55"/>
    <mergeCell ref="E54:H55"/>
    <mergeCell ref="C50:D51"/>
    <mergeCell ref="E50:H51"/>
    <mergeCell ref="I36:J37"/>
    <mergeCell ref="C52:D53"/>
    <mergeCell ref="E52:H53"/>
  </mergeCells>
  <pageMargins left="0.7" right="0.7" top="0.75" bottom="0.75" header="0.3" footer="0.3"/>
  <pageSetup paperSize="9" scale="71" orientation="portrait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-=[By NeC]=-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Homsi</cp:lastModifiedBy>
  <dcterms:created xsi:type="dcterms:W3CDTF">2022-05-24T08:45:00Z</dcterms:created>
  <cp:lastPrinted>2025-10-19T07:27:00Z</cp:lastPrinted>
  <dcterms:modified xsi:type="dcterms:W3CDTF">2026-05-08T22:46:05Z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26E8C57D4EBA439B979C03D04F553B24_12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