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OBOOK\Desktop\حسابات زبائن جارية\"/>
    </mc:Choice>
  </mc:AlternateContent>
  <xr:revisionPtr revIDLastSave="0" documentId="13_ncr:1_{7F9A8DC8-FBFA-4F0E-89B9-4345ACCA547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yfa1" sheetId="1" r:id="rId1"/>
  </sheets>
  <definedNames>
    <definedName name="_xlnm.Print_Area" localSheetId="0">Sayfa1!$A$1:$L$43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1" l="1"/>
  <c r="I16" i="1"/>
  <c r="I14" i="1"/>
</calcChain>
</file>

<file path=xl/sharedStrings.xml><?xml version="1.0" encoding="utf-8"?>
<sst xmlns="http://schemas.openxmlformats.org/spreadsheetml/2006/main" count="21" uniqueCount="16">
  <si>
    <t>SİPARİŞ FÖYÜ</t>
  </si>
  <si>
    <t>sayfa 1</t>
  </si>
  <si>
    <t>توب</t>
  </si>
  <si>
    <t>الإجمالي</t>
  </si>
  <si>
    <t>اجمالي الأمتار</t>
  </si>
  <si>
    <t>سعر</t>
  </si>
  <si>
    <t>مدينه</t>
  </si>
  <si>
    <t>الكمية</t>
  </si>
  <si>
    <t>الخامة</t>
  </si>
  <si>
    <t xml:space="preserve"> التاريخ</t>
  </si>
  <si>
    <t>كشف حساب</t>
  </si>
  <si>
    <t>السيد/ة :احمد عرب</t>
  </si>
  <si>
    <t>موسكو مقلم ج9</t>
  </si>
  <si>
    <t>تريو 3</t>
  </si>
  <si>
    <t>تريو دوز سادة</t>
  </si>
  <si>
    <t>دمشق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</si>
</sst>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₺&quot;* #,##0.00_-;\-&quot;₺&quot;* #,##0.00_-;_-&quot;₺&quot;* &quot;-&quot;??_-;_-@_-"/>
    <numFmt numFmtId="165" formatCode="_-[$$-1009]* #,##0.00_-;\-[$$-1009]* #,##0.00_-;_-[$$-1009]* &quot;-&quot;??_-;_-@_-"/>
    <numFmt numFmtId="166" formatCode="_-[$$-409]* #,##0.00_ ;_-[$$-409]* \-#,##0.00\ ;_-[$$-409]* &quot;-&quot;??_ ;_-@_ "/>
  </numFmts>
  <fonts count="8" x14ac:knownFonts="1">
    <font>
      <sz val="11"/>
      <color theme="1"/>
      <name val="Arial"/>
      <family val="2"/>
      <charset val="162"/>
      <scheme val="minor"/>
    </font>
    <font>
      <b/>
      <sz val="11"/>
      <color theme="1"/>
      <name val="Arial"/>
      <family val="2"/>
      <charset val="162"/>
      <scheme val="minor"/>
    </font>
    <font>
      <sz val="8"/>
      <name val="Arial"/>
      <family val="2"/>
      <charset val="162"/>
      <scheme val="minor"/>
    </font>
    <font>
      <b/>
      <sz val="12"/>
      <color theme="1"/>
      <name val="Arial"/>
      <family val="2"/>
      <charset val="162"/>
      <scheme val="minor"/>
    </font>
    <font>
      <sz val="11"/>
      <color theme="1"/>
      <name val="Arial"/>
      <family val="2"/>
      <charset val="162"/>
      <scheme val="minor"/>
    </font>
    <font>
      <b/>
      <sz val="12"/>
      <color rgb="FFFF0000"/>
      <name val="Arial"/>
      <family val="2"/>
      <charset val="162"/>
      <scheme val="minor"/>
    </font>
    <font>
      <b/>
      <sz val="10"/>
      <color theme="1"/>
      <name val="Arial"/>
      <family val="2"/>
      <charset val="162"/>
      <scheme val="minor"/>
    </font>
    <font>
      <b/>
      <i/>
      <sz val="11"/>
      <color theme="1"/>
      <name val="Arial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9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0" fillId="0" borderId="13" xfId="0" applyBorder="1"/>
    <xf numFmtId="0" fontId="0" fillId="0" borderId="15" xfId="0" applyBorder="1"/>
    <xf numFmtId="0" fontId="0" fillId="0" borderId="18" xfId="0" applyBorder="1"/>
    <xf numFmtId="0" fontId="3" fillId="0" borderId="0" xfId="0" applyFont="1" applyAlignment="1">
      <alignment horizontal="right" vertical="center"/>
    </xf>
    <xf numFmtId="0" fontId="0" fillId="0" borderId="12" xfId="0" applyBorder="1"/>
    <xf numFmtId="0" fontId="0" fillId="0" borderId="17" xfId="0" applyBorder="1"/>
    <xf numFmtId="0" fontId="1" fillId="0" borderId="12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11" xfId="0" applyBorder="1"/>
    <xf numFmtId="0" fontId="0" fillId="0" borderId="14" xfId="0" applyBorder="1"/>
    <xf numFmtId="0" fontId="0" fillId="0" borderId="16" xfId="0" applyBorder="1"/>
    <xf numFmtId="0" fontId="3" fillId="0" borderId="15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6" fontId="3" fillId="6" borderId="14" xfId="1" applyNumberFormat="1" applyFont="1" applyFill="1" applyBorder="1" applyAlignment="1">
      <alignment horizontal="center" vertical="center"/>
    </xf>
    <xf numFmtId="166" fontId="3" fillId="6" borderId="0" xfId="1" applyNumberFormat="1" applyFont="1" applyFill="1" applyBorder="1" applyAlignment="1">
      <alignment horizontal="center" vertical="center"/>
    </xf>
    <xf numFmtId="166" fontId="3" fillId="6" borderId="15" xfId="1" applyNumberFormat="1" applyFont="1" applyFill="1" applyBorder="1" applyAlignment="1">
      <alignment horizontal="center" vertical="center"/>
    </xf>
    <xf numFmtId="166" fontId="3" fillId="6" borderId="16" xfId="1" applyNumberFormat="1" applyFont="1" applyFill="1" applyBorder="1" applyAlignment="1">
      <alignment horizontal="center" vertical="center"/>
    </xf>
    <xf numFmtId="166" fontId="3" fillId="6" borderId="17" xfId="1" applyNumberFormat="1" applyFont="1" applyFill="1" applyBorder="1" applyAlignment="1">
      <alignment horizontal="center" vertical="center"/>
    </xf>
    <xf numFmtId="166" fontId="3" fillId="6" borderId="18" xfId="1" applyNumberFormat="1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4" fontId="3" fillId="0" borderId="19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166" fontId="3" fillId="4" borderId="30" xfId="1" applyNumberFormat="1" applyFont="1" applyFill="1" applyBorder="1" applyAlignment="1">
      <alignment horizontal="center" vertical="center"/>
    </xf>
    <xf numFmtId="166" fontId="3" fillId="4" borderId="1" xfId="1" applyNumberFormat="1" applyFont="1" applyFill="1" applyBorder="1" applyAlignment="1">
      <alignment horizontal="center" vertical="center"/>
    </xf>
    <xf numFmtId="166" fontId="3" fillId="4" borderId="31" xfId="1" applyNumberFormat="1" applyFont="1" applyFill="1" applyBorder="1" applyAlignment="1">
      <alignment horizontal="center" vertical="center"/>
    </xf>
    <xf numFmtId="166" fontId="3" fillId="4" borderId="14" xfId="1" applyNumberFormat="1" applyFont="1" applyFill="1" applyBorder="1" applyAlignment="1">
      <alignment horizontal="center" vertical="center"/>
    </xf>
    <xf numFmtId="166" fontId="3" fillId="4" borderId="0" xfId="1" applyNumberFormat="1" applyFont="1" applyFill="1" applyBorder="1" applyAlignment="1">
      <alignment horizontal="center" vertical="center"/>
    </xf>
    <xf numFmtId="166" fontId="3" fillId="4" borderId="15" xfId="1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0" fontId="1" fillId="0" borderId="14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1" fillId="0" borderId="16" xfId="0" applyFont="1" applyBorder="1" applyAlignment="1">
      <alignment horizontal="right" vertical="center"/>
    </xf>
    <xf numFmtId="0" fontId="1" fillId="0" borderId="17" xfId="0" applyFont="1" applyBorder="1" applyAlignment="1">
      <alignment horizontal="right" vertical="center"/>
    </xf>
    <xf numFmtId="0" fontId="1" fillId="0" borderId="18" xfId="0" applyFont="1" applyBorder="1" applyAlignment="1">
      <alignment horizontal="right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6" fontId="3" fillId="0" borderId="11" xfId="1" applyNumberFormat="1" applyFont="1" applyFill="1" applyBorder="1" applyAlignment="1">
      <alignment horizontal="center" vertical="center"/>
    </xf>
    <xf numFmtId="166" fontId="3" fillId="0" borderId="13" xfId="1" applyNumberFormat="1" applyFont="1" applyFill="1" applyBorder="1" applyAlignment="1">
      <alignment horizontal="center" vertical="center"/>
    </xf>
    <xf numFmtId="166" fontId="3" fillId="0" borderId="16" xfId="1" applyNumberFormat="1" applyFont="1" applyFill="1" applyBorder="1" applyAlignment="1">
      <alignment horizontal="center" vertical="center"/>
    </xf>
    <xf numFmtId="166" fontId="3" fillId="0" borderId="18" xfId="1" applyNumberFormat="1" applyFont="1" applyFill="1" applyBorder="1" applyAlignment="1">
      <alignment horizontal="center" vertical="center"/>
    </xf>
    <xf numFmtId="165" fontId="3" fillId="3" borderId="3" xfId="1" applyNumberFormat="1" applyFont="1" applyFill="1" applyBorder="1" applyAlignment="1">
      <alignment horizontal="center" vertical="center"/>
    </xf>
    <xf numFmtId="166" fontId="3" fillId="0" borderId="34" xfId="1" applyNumberFormat="1" applyFont="1" applyBorder="1" applyAlignment="1">
      <alignment horizontal="center" vertical="center"/>
    </xf>
    <xf numFmtId="166" fontId="3" fillId="0" borderId="35" xfId="1" applyNumberFormat="1" applyFont="1" applyBorder="1" applyAlignment="1">
      <alignment horizontal="center" vertical="center"/>
    </xf>
    <xf numFmtId="166" fontId="3" fillId="0" borderId="36" xfId="1" applyNumberFormat="1" applyFont="1" applyBorder="1" applyAlignment="1">
      <alignment horizontal="center" vertical="center"/>
    </xf>
    <xf numFmtId="166" fontId="3" fillId="0" borderId="37" xfId="1" applyNumberFormat="1" applyFont="1" applyBorder="1" applyAlignment="1">
      <alignment horizontal="center" vertical="center"/>
    </xf>
    <xf numFmtId="0" fontId="3" fillId="5" borderId="32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/>
    </xf>
    <xf numFmtId="166" fontId="3" fillId="5" borderId="14" xfId="1" applyNumberFormat="1" applyFont="1" applyFill="1" applyBorder="1" applyAlignment="1">
      <alignment horizontal="center" vertical="center"/>
    </xf>
    <xf numFmtId="166" fontId="3" fillId="5" borderId="15" xfId="1" applyNumberFormat="1" applyFont="1" applyFill="1" applyBorder="1" applyAlignment="1">
      <alignment horizontal="center" vertical="center"/>
    </xf>
    <xf numFmtId="166" fontId="3" fillId="5" borderId="16" xfId="1" applyNumberFormat="1" applyFont="1" applyFill="1" applyBorder="1" applyAlignment="1">
      <alignment horizontal="center" vertical="center"/>
    </xf>
    <xf numFmtId="166" fontId="3" fillId="5" borderId="18" xfId="1" applyNumberFormat="1" applyFont="1" applyFill="1" applyBorder="1" applyAlignment="1">
      <alignment horizontal="center" vertical="center"/>
    </xf>
  </cellXfs>
  <cellStyles count="2">
    <cellStyle name="Currency" xfId="1" builtinId="4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141205</xdr:rowOff>
    </xdr:from>
    <xdr:to>
      <xdr:col>9</xdr:col>
      <xdr:colOff>597774</xdr:colOff>
      <xdr:row>6</xdr:row>
      <xdr:rowOff>177363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1705"/>
          <a:ext cx="6582102" cy="9886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33"/>
  <sheetViews>
    <sheetView tabSelected="1" topLeftCell="A9" zoomScale="77" zoomScaleNormal="77" zoomScaleSheetLayoutView="100" workbookViewId="0">
      <selection activeCell="G18" sqref="G18:G19"/>
    </sheetView>
  </sheetViews>
  <sheetFormatPr defaultRowHeight="14" x14ac:dyDescent="0.3"/>
  <cols>
    <col min="1" max="1" width="13.25" customWidth="1"/>
    <col min="2" max="2" width="19.75" style="1" customWidth="1"/>
    <col min="3" max="3" width="10.83203125" style="1" customWidth="1"/>
    <col min="4" max="4" width="8.58203125" style="1" customWidth="1"/>
    <col min="5" max="5" width="3.83203125" style="1" customWidth="1"/>
    <col min="6" max="6" width="7.1640625" style="1" customWidth="1"/>
    <col min="7" max="7" width="8.83203125" style="1" customWidth="1"/>
    <col min="8" max="8" width="8.25" customWidth="1"/>
    <col min="11" max="11" width="4" customWidth="1"/>
  </cols>
  <sheetData>
    <row r="2" spans="1:17" ht="15" customHeight="1" x14ac:dyDescent="0.3"/>
    <row r="3" spans="1:17" ht="15" customHeight="1" x14ac:dyDescent="0.3"/>
    <row r="4" spans="1:17" ht="15" customHeight="1" x14ac:dyDescent="0.3">
      <c r="H4" t="s">
        <v>1</v>
      </c>
    </row>
    <row r="5" spans="1:17" ht="15" customHeight="1" x14ac:dyDescent="0.3">
      <c r="B5" s="57" t="s">
        <v>0</v>
      </c>
      <c r="C5" s="57"/>
      <c r="D5" s="57"/>
      <c r="E5" s="57"/>
      <c r="F5" s="57"/>
      <c r="G5" s="57"/>
      <c r="H5" s="2"/>
      <c r="I5" s="2"/>
    </row>
    <row r="6" spans="1:17" ht="15" customHeight="1" x14ac:dyDescent="0.3">
      <c r="B6" s="57"/>
      <c r="C6" s="57"/>
      <c r="D6" s="57"/>
      <c r="E6" s="57"/>
      <c r="F6" s="57"/>
      <c r="G6" s="57"/>
      <c r="H6" s="2"/>
      <c r="I6" s="2"/>
    </row>
    <row r="7" spans="1:17" ht="16" thickBot="1" x14ac:dyDescent="0.35">
      <c r="B7" s="57"/>
      <c r="C7" s="57"/>
      <c r="D7" s="57"/>
      <c r="E7" s="57"/>
      <c r="F7" s="57"/>
      <c r="G7" s="57"/>
      <c r="H7" s="2"/>
      <c r="I7" s="2"/>
      <c r="O7" s="5"/>
    </row>
    <row r="8" spans="1:17" ht="15.75" customHeight="1" x14ac:dyDescent="0.3">
      <c r="A8" s="16"/>
      <c r="B8" s="58" t="s">
        <v>11</v>
      </c>
      <c r="C8" s="59"/>
      <c r="D8" s="59"/>
      <c r="E8" s="59"/>
      <c r="F8" s="59"/>
      <c r="G8" s="60"/>
      <c r="H8" s="12"/>
      <c r="I8" s="14"/>
      <c r="J8" s="8"/>
      <c r="O8" s="11"/>
    </row>
    <row r="9" spans="1:17" ht="15.75" customHeight="1" x14ac:dyDescent="0.3">
      <c r="A9" s="17"/>
      <c r="B9" s="61"/>
      <c r="C9" s="62"/>
      <c r="D9" s="62"/>
      <c r="E9" s="62"/>
      <c r="F9" s="62"/>
      <c r="G9" s="63"/>
      <c r="H9" s="57" t="s">
        <v>10</v>
      </c>
      <c r="I9" s="57"/>
      <c r="J9" s="19"/>
      <c r="K9" s="5"/>
      <c r="O9" s="5"/>
    </row>
    <row r="10" spans="1:17" ht="15.75" customHeight="1" x14ac:dyDescent="0.3">
      <c r="A10" s="17"/>
      <c r="B10" s="61"/>
      <c r="C10" s="62"/>
      <c r="D10" s="62"/>
      <c r="E10" s="62"/>
      <c r="F10" s="62"/>
      <c r="G10" s="63"/>
      <c r="H10" s="83">
        <v>46148</v>
      </c>
      <c r="I10" s="84"/>
      <c r="J10" s="9"/>
      <c r="O10" s="5"/>
      <c r="P10" s="57"/>
      <c r="Q10" s="57"/>
    </row>
    <row r="11" spans="1:17" ht="9.75" customHeight="1" thickBot="1" x14ac:dyDescent="0.35">
      <c r="A11" s="18"/>
      <c r="B11" s="64"/>
      <c r="C11" s="65"/>
      <c r="D11" s="65"/>
      <c r="E11" s="65"/>
      <c r="F11" s="65"/>
      <c r="G11" s="66"/>
      <c r="H11" s="13"/>
      <c r="I11" s="13"/>
      <c r="J11" s="10"/>
    </row>
    <row r="12" spans="1:17" ht="0.75" customHeight="1" thickBot="1" x14ac:dyDescent="0.35">
      <c r="B12" s="4"/>
      <c r="C12" s="5"/>
      <c r="D12" s="5"/>
      <c r="E12" s="6"/>
      <c r="F12" s="5"/>
      <c r="G12" s="5"/>
      <c r="H12">
        <v>2</v>
      </c>
    </row>
    <row r="13" spans="1:17" ht="15.5" x14ac:dyDescent="0.3">
      <c r="A13" s="15" t="s">
        <v>9</v>
      </c>
      <c r="B13" s="21" t="s">
        <v>8</v>
      </c>
      <c r="C13" s="67" t="s">
        <v>7</v>
      </c>
      <c r="D13" s="68"/>
      <c r="E13" s="69"/>
      <c r="F13" s="20" t="s">
        <v>2</v>
      </c>
      <c r="G13" s="7" t="s">
        <v>6</v>
      </c>
      <c r="H13" s="3" t="s">
        <v>5</v>
      </c>
      <c r="I13" s="85" t="s">
        <v>3</v>
      </c>
      <c r="J13" s="85"/>
    </row>
    <row r="14" spans="1:17" x14ac:dyDescent="0.3">
      <c r="A14" s="22">
        <v>46148</v>
      </c>
      <c r="B14" s="24" t="s">
        <v>12</v>
      </c>
      <c r="C14" s="24">
        <v>299</v>
      </c>
      <c r="D14" s="24"/>
      <c r="E14" s="24"/>
      <c r="F14" s="24">
        <v>3</v>
      </c>
      <c r="G14" s="25" t="s">
        <v>15</v>
      </c>
      <c r="H14" s="74">
        <v>1.7</v>
      </c>
      <c r="I14" s="75">
        <f>SUM(C14*H14)</f>
        <v>508.3</v>
      </c>
      <c r="J14" s="76"/>
    </row>
    <row r="15" spans="1:17" x14ac:dyDescent="0.3">
      <c r="A15" s="23"/>
      <c r="B15" s="24"/>
      <c r="C15" s="24"/>
      <c r="D15" s="24"/>
      <c r="E15" s="24"/>
      <c r="F15" s="24"/>
      <c r="G15" s="25"/>
      <c r="H15" s="74"/>
      <c r="I15" s="77"/>
      <c r="J15" s="78"/>
    </row>
    <row r="16" spans="1:17" ht="14" customHeight="1" x14ac:dyDescent="0.3">
      <c r="A16" s="22">
        <v>46148</v>
      </c>
      <c r="B16" s="24" t="s">
        <v>13</v>
      </c>
      <c r="C16" s="24">
        <v>193.8</v>
      </c>
      <c r="D16" s="24"/>
      <c r="E16" s="24"/>
      <c r="F16" s="24">
        <v>3</v>
      </c>
      <c r="G16" s="25" t="s">
        <v>15</v>
      </c>
      <c r="H16" s="74">
        <v>2.6</v>
      </c>
      <c r="I16" s="75">
        <f t="shared" ref="I16" si="0">SUM(C16*H16)</f>
        <v>503.88000000000005</v>
      </c>
      <c r="J16" s="76"/>
    </row>
    <row r="17" spans="1:10" ht="14" customHeight="1" x14ac:dyDescent="0.3">
      <c r="A17" s="23"/>
      <c r="B17" s="24"/>
      <c r="C17" s="24"/>
      <c r="D17" s="24"/>
      <c r="E17" s="24"/>
      <c r="F17" s="24"/>
      <c r="G17" s="25"/>
      <c r="H17" s="74"/>
      <c r="I17" s="77"/>
      <c r="J17" s="78"/>
    </row>
    <row r="18" spans="1:10" ht="14" customHeight="1" x14ac:dyDescent="0.3">
      <c r="A18" s="22">
        <v>46148</v>
      </c>
      <c r="B18" s="24" t="s">
        <v>14</v>
      </c>
      <c r="C18" s="24">
        <v>200.6</v>
      </c>
      <c r="D18" s="24"/>
      <c r="E18" s="24"/>
      <c r="F18" s="24">
        <v>3</v>
      </c>
      <c r="G18" s="25" t="s">
        <v>15</v>
      </c>
      <c r="H18" s="74">
        <v>2.6</v>
      </c>
      <c r="I18" s="75">
        <f t="shared" ref="I18" si="1">SUM(C18*H18)</f>
        <v>521.56000000000006</v>
      </c>
      <c r="J18" s="76"/>
    </row>
    <row r="19" spans="1:10" ht="14" customHeight="1" x14ac:dyDescent="0.3">
      <c r="A19" s="23"/>
      <c r="B19" s="24"/>
      <c r="C19" s="24"/>
      <c r="D19" s="24"/>
      <c r="E19" s="24"/>
      <c r="F19" s="24"/>
      <c r="G19" s="25"/>
      <c r="H19" s="74"/>
      <c r="I19" s="77"/>
      <c r="J19" s="78"/>
    </row>
    <row r="20" spans="1:10" ht="15.75" customHeight="1" x14ac:dyDescent="0.3">
      <c r="C20" s="79" t="s">
        <v>4</v>
      </c>
      <c r="D20" s="80"/>
      <c r="E20" s="80"/>
      <c r="F20" s="38" t="s">
        <v>2</v>
      </c>
      <c r="I20" s="86" t="s">
        <v>3</v>
      </c>
      <c r="J20" s="87"/>
    </row>
    <row r="21" spans="1:10" ht="15.75" customHeight="1" thickBot="1" x14ac:dyDescent="0.35">
      <c r="C21" s="81"/>
      <c r="D21" s="82"/>
      <c r="E21" s="82"/>
      <c r="F21" s="39"/>
      <c r="I21" s="88"/>
      <c r="J21" s="89"/>
    </row>
    <row r="22" spans="1:10" ht="15.75" customHeight="1" x14ac:dyDescent="0.3">
      <c r="C22" s="42">
        <v>693.4</v>
      </c>
      <c r="D22" s="43"/>
      <c r="E22" s="44"/>
      <c r="F22" s="40">
        <v>9</v>
      </c>
      <c r="I22" s="70">
        <v>1533.74</v>
      </c>
      <c r="J22" s="71"/>
    </row>
    <row r="23" spans="1:10" ht="15.75" customHeight="1" thickBot="1" x14ac:dyDescent="0.35">
      <c r="C23" s="45"/>
      <c r="D23" s="46"/>
      <c r="E23" s="39"/>
      <c r="F23" s="41"/>
      <c r="I23" s="72"/>
      <c r="J23" s="73"/>
    </row>
    <row r="25" spans="1:10" ht="14.5" thickBot="1" x14ac:dyDescent="0.35">
      <c r="G25"/>
    </row>
    <row r="26" spans="1:10" ht="15" customHeight="1" x14ac:dyDescent="0.3">
      <c r="E26" s="32" t="s">
        <v>3</v>
      </c>
      <c r="F26" s="33"/>
      <c r="G26" s="33"/>
      <c r="H26" s="34"/>
    </row>
    <row r="27" spans="1:10" ht="15" customHeight="1" x14ac:dyDescent="0.3">
      <c r="E27" s="35"/>
      <c r="F27" s="36"/>
      <c r="G27" s="36"/>
      <c r="H27" s="37"/>
    </row>
    <row r="28" spans="1:10" ht="15" customHeight="1" x14ac:dyDescent="0.3">
      <c r="E28" s="47">
        <v>1533.74</v>
      </c>
      <c r="F28" s="48"/>
      <c r="G28" s="48"/>
      <c r="H28" s="49"/>
    </row>
    <row r="29" spans="1:10" ht="15" customHeight="1" thickBot="1" x14ac:dyDescent="0.35">
      <c r="E29" s="50"/>
      <c r="F29" s="51"/>
      <c r="G29" s="51"/>
      <c r="H29" s="52"/>
    </row>
    <row r="30" spans="1:10" ht="15" customHeight="1" x14ac:dyDescent="0.3">
      <c r="C30" s="53">
        <v>46148</v>
      </c>
      <c r="D30" s="54"/>
      <c r="E30" s="47">
        <v>400</v>
      </c>
      <c r="F30" s="48"/>
      <c r="G30" s="48"/>
      <c r="H30" s="49"/>
    </row>
    <row r="31" spans="1:10" ht="15" customHeight="1" thickBot="1" x14ac:dyDescent="0.35">
      <c r="C31" s="55"/>
      <c r="D31" s="56"/>
      <c r="E31" s="50"/>
      <c r="F31" s="51"/>
      <c r="G31" s="51"/>
      <c r="H31" s="52"/>
    </row>
    <row r="32" spans="1:10" ht="15" customHeight="1" x14ac:dyDescent="0.3">
      <c r="E32" s="26">
        <v>1133.74</v>
      </c>
      <c r="F32" s="27"/>
      <c r="G32" s="27"/>
      <c r="H32" s="28"/>
    </row>
    <row r="33" spans="5:8" ht="15" customHeight="1" thickBot="1" x14ac:dyDescent="0.35">
      <c r="E33" s="29"/>
      <c r="F33" s="30"/>
      <c r="G33" s="30"/>
      <c r="H33" s="31"/>
    </row>
  </sheetData>
  <mergeCells count="39">
    <mergeCell ref="P10:Q10"/>
    <mergeCell ref="C20:E21"/>
    <mergeCell ref="H10:I10"/>
    <mergeCell ref="I13:J13"/>
    <mergeCell ref="I20:J21"/>
    <mergeCell ref="H9:I9"/>
    <mergeCell ref="B5:G7"/>
    <mergeCell ref="B8:G11"/>
    <mergeCell ref="C13:E13"/>
    <mergeCell ref="I22:J23"/>
    <mergeCell ref="H14:H15"/>
    <mergeCell ref="I14:J15"/>
    <mergeCell ref="H16:H17"/>
    <mergeCell ref="I16:J17"/>
    <mergeCell ref="H18:H19"/>
    <mergeCell ref="I18:J19"/>
    <mergeCell ref="E32:H33"/>
    <mergeCell ref="E26:H27"/>
    <mergeCell ref="F20:F21"/>
    <mergeCell ref="F22:F23"/>
    <mergeCell ref="C22:E23"/>
    <mergeCell ref="E28:H29"/>
    <mergeCell ref="C30:D31"/>
    <mergeCell ref="E30:H31"/>
    <mergeCell ref="A14:A15"/>
    <mergeCell ref="B14:B15"/>
    <mergeCell ref="C14:E15"/>
    <mergeCell ref="F14:F15"/>
    <mergeCell ref="G14:G15"/>
    <mergeCell ref="A16:A17"/>
    <mergeCell ref="B16:B17"/>
    <mergeCell ref="C16:E17"/>
    <mergeCell ref="F16:F17"/>
    <mergeCell ref="G16:G17"/>
    <mergeCell ref="A18:A19"/>
    <mergeCell ref="B18:B19"/>
    <mergeCell ref="C18:E19"/>
    <mergeCell ref="F18:F19"/>
    <mergeCell ref="G18:G19"/>
  </mergeCells>
  <phoneticPr fontId="2" type="noConversion"/>
  <pageMargins left="0.7" right="0.7" top="0.75" bottom="0.75" header="0.3" footer="0.3"/>
  <pageSetup paperSize="9" scale="60" orientation="portrait" horizontalDpi="4294967293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1</vt:i4>
      </vt:variant>
    </vt:vector>
  </HeadingPairs>
  <TitlesOfParts>
    <vt:vector size="2" baseType="lpstr">
      <vt:lpstr>Sayfa1</vt:lpstr>
      <vt:lpstr>Sayfa1!Print_Area</vt:lpstr>
    </vt:vector>
  </TitlesOfParts>
  <Company>-=[By NeC]=-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CLOTEX</dc:creator>
  <cp:lastModifiedBy>clotex bursa</cp:lastModifiedBy>
  <cp:lastPrinted>2026-04-14T18:47:22Z</cp:lastPrinted>
  <dcterms:created xsi:type="dcterms:W3CDTF">2022-05-24T08:45:35Z</dcterms:created>
  <dcterms:modified xsi:type="dcterms:W3CDTF">2026-05-07T17:06:36Z</dcterms:modified>
</cp:coreProperties>
</file>