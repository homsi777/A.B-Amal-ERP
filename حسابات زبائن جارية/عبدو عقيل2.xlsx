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OBOOK\Desktop\حسابات زبائن جارية\"/>
    </mc:Choice>
  </mc:AlternateContent>
  <xr:revisionPtr revIDLastSave="0" documentId="13_ncr:1_{BF9DAACE-205F-44EB-A04C-755A7C7C83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yfa1" sheetId="1" r:id="rId1"/>
  </sheets>
  <definedNames>
    <definedName name="_xlnm.Print_Area" localSheetId="0">Sayfa1!$A$1:$L$53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I24" i="1"/>
  <c r="I20" i="1"/>
  <c r="I18" i="1"/>
  <c r="I16" i="1"/>
  <c r="I14" i="1"/>
</calcChain>
</file>

<file path=xl/sharedStrings.xml><?xml version="1.0" encoding="utf-8"?>
<sst xmlns="http://schemas.openxmlformats.org/spreadsheetml/2006/main" count="33" uniqueCount="21">
  <si>
    <t>SİPARİŞ FÖYÜ</t>
  </si>
  <si>
    <t>sayfa 1</t>
  </si>
  <si>
    <t>توب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</si>
  <si>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</si>
  <si>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</si>
  <si>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</si>
  <si>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</si>
  <si>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</si>
  <si>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</si>
  <si>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</si>
  <si>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</si>
  <si>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السيد/ة :عبدو عقيل2</t>
  </si>
  <si>
    <t>ساندي روز</t>
  </si>
  <si>
    <t>حلب</t>
  </si>
  <si>
    <t>ساندي ايفكلي g4</t>
  </si>
  <si>
    <t>كوين ماكس 10</t>
  </si>
  <si>
    <t>26\3\2026</t>
  </si>
  <si>
    <t>لوندرا kl131</t>
  </si>
  <si>
    <t>8\4\2026</t>
  </si>
  <si>
    <t>16\4\2026</t>
  </si>
  <si>
    <t>26\4\2026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</si>
</sst>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8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3" fillId="0" borderId="0" xfId="0" applyFont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4" fontId="0" fillId="4" borderId="19" xfId="0" applyNumberFormat="1" applyFill="1" applyBorder="1" applyAlignment="1">
      <alignment horizontal="center" vertical="center"/>
    </xf>
    <xf numFmtId="14" fontId="0" fillId="4" borderId="21" xfId="0" applyNumberFormat="1" applyFill="1" applyBorder="1" applyAlignment="1">
      <alignment horizontal="center" vertical="center"/>
    </xf>
    <xf numFmtId="14" fontId="0" fillId="4" borderId="32" xfId="0" applyNumberFormat="1" applyFill="1" applyBorder="1" applyAlignment="1">
      <alignment horizontal="center" vertical="center"/>
    </xf>
    <xf numFmtId="14" fontId="0" fillId="4" borderId="33" xfId="0" applyNumberFormat="1" applyFill="1" applyBorder="1" applyAlignment="1">
      <alignment horizontal="center" vertical="center"/>
    </xf>
    <xf numFmtId="166" fontId="3" fillId="4" borderId="30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31" xfId="1" applyNumberFormat="1" applyFont="1" applyFill="1" applyBorder="1" applyAlignment="1">
      <alignment horizontal="center" vertical="center"/>
    </xf>
    <xf numFmtId="166" fontId="3" fillId="4" borderId="28" xfId="1" applyNumberFormat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66" fontId="3" fillId="4" borderId="29" xfId="1" applyNumberFormat="1" applyFont="1" applyFill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4" fontId="0" fillId="6" borderId="19" xfId="0" applyNumberFormat="1" applyFill="1" applyBorder="1" applyAlignment="1">
      <alignment horizontal="center" vertical="center"/>
    </xf>
    <xf numFmtId="14" fontId="0" fillId="6" borderId="21" xfId="0" applyNumberFormat="1" applyFill="1" applyBorder="1" applyAlignment="1">
      <alignment horizontal="center" vertical="center"/>
    </xf>
    <xf numFmtId="14" fontId="0" fillId="6" borderId="32" xfId="0" applyNumberFormat="1" applyFill="1" applyBorder="1" applyAlignment="1">
      <alignment horizontal="center" vertical="center"/>
    </xf>
    <xf numFmtId="14" fontId="0" fillId="6" borderId="33" xfId="0" applyNumberFormat="1" applyFill="1" applyBorder="1" applyAlignment="1">
      <alignment horizontal="center" vertical="center"/>
    </xf>
    <xf numFmtId="166" fontId="3" fillId="6" borderId="30" xfId="1" applyNumberFormat="1" applyFont="1" applyFill="1" applyBorder="1" applyAlignment="1">
      <alignment horizontal="center" vertical="center"/>
    </xf>
    <xf numFmtId="166" fontId="3" fillId="6" borderId="1" xfId="1" applyNumberFormat="1" applyFont="1" applyFill="1" applyBorder="1" applyAlignment="1">
      <alignment horizontal="center" vertical="center"/>
    </xf>
    <xf numFmtId="166" fontId="3" fillId="6" borderId="31" xfId="1" applyNumberFormat="1" applyFont="1" applyFill="1" applyBorder="1" applyAlignment="1">
      <alignment horizontal="center" vertical="center"/>
    </xf>
    <xf numFmtId="166" fontId="3" fillId="6" borderId="28" xfId="1" applyNumberFormat="1" applyFont="1" applyFill="1" applyBorder="1" applyAlignment="1">
      <alignment horizontal="center" vertical="center"/>
    </xf>
    <xf numFmtId="166" fontId="3" fillId="6" borderId="8" xfId="1" applyNumberFormat="1" applyFont="1" applyFill="1" applyBorder="1" applyAlignment="1">
      <alignment horizontal="center" vertical="center"/>
    </xf>
    <xf numFmtId="166" fontId="3" fillId="6" borderId="29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11" xfId="1" applyNumberFormat="1" applyFont="1" applyFill="1" applyBorder="1" applyAlignment="1">
      <alignment horizontal="center" vertical="center"/>
    </xf>
    <xf numFmtId="166" fontId="3" fillId="0" borderId="13" xfId="1" applyNumberFormat="1" applyFont="1" applyFill="1" applyBorder="1" applyAlignment="1">
      <alignment horizontal="center" vertical="center"/>
    </xf>
    <xf numFmtId="166" fontId="3" fillId="0" borderId="16" xfId="1" applyNumberFormat="1" applyFont="1" applyFill="1" applyBorder="1" applyAlignment="1">
      <alignment horizontal="center" vertical="center"/>
    </xf>
    <xf numFmtId="166" fontId="3" fillId="0" borderId="18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166" fontId="3" fillId="0" borderId="3" xfId="1" applyNumberFormat="1" applyFont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5" borderId="16" xfId="1" applyNumberFormat="1" applyFont="1" applyFill="1" applyBorder="1" applyAlignment="1">
      <alignment horizontal="center" vertical="center"/>
    </xf>
    <xf numFmtId="166" fontId="3" fillId="5" borderId="18" xfId="1" applyNumberFormat="1" applyFont="1" applyFill="1" applyBorder="1" applyAlignment="1">
      <alignment horizontal="center" vertical="center"/>
    </xf>
  </cellXfs>
  <cellStyles count="2">
    <cellStyle name="Currency" xfId="1" builtinId="4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43"/>
  <sheetViews>
    <sheetView tabSelected="1" zoomScale="77" zoomScaleNormal="77" zoomScaleSheetLayoutView="100" workbookViewId="0">
      <selection activeCell="H10" sqref="H10:I10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8.25" customWidth="1"/>
    <col min="11" max="11" width="4" customWidth="1"/>
  </cols>
  <sheetData>
    <row r="2" spans="1:17" ht="15" customHeight="1" x14ac:dyDescent="0.3"/>
    <row r="3" spans="1:17" ht="15" customHeight="1" x14ac:dyDescent="0.3"/>
    <row r="4" spans="1:17" ht="15" customHeight="1" x14ac:dyDescent="0.3">
      <c r="H4" t="s">
        <v>1</v>
      </c>
    </row>
    <row r="5" spans="1:17" ht="15" customHeight="1" x14ac:dyDescent="0.3">
      <c r="B5" s="46" t="s">
        <v>0</v>
      </c>
      <c r="C5" s="46"/>
      <c r="D5" s="46"/>
      <c r="E5" s="46"/>
      <c r="F5" s="46"/>
      <c r="G5" s="46"/>
      <c r="H5" s="2"/>
      <c r="I5" s="2"/>
    </row>
    <row r="6" spans="1:17" ht="15" customHeight="1" x14ac:dyDescent="0.3">
      <c r="B6" s="46"/>
      <c r="C6" s="46"/>
      <c r="D6" s="46"/>
      <c r="E6" s="46"/>
      <c r="F6" s="46"/>
      <c r="G6" s="46"/>
      <c r="H6" s="2"/>
      <c r="I6" s="2"/>
    </row>
    <row r="7" spans="1:17" ht="16" thickBot="1" x14ac:dyDescent="0.35">
      <c r="B7" s="46"/>
      <c r="C7" s="46"/>
      <c r="D7" s="46"/>
      <c r="E7" s="46"/>
      <c r="F7" s="46"/>
      <c r="G7" s="46"/>
      <c r="H7" s="2"/>
      <c r="I7" s="2"/>
      <c r="O7" s="5"/>
    </row>
    <row r="8" spans="1:17" ht="15.75" customHeight="1" x14ac:dyDescent="0.3">
      <c r="A8" s="16"/>
      <c r="B8" s="72" t="s">
        <v>11</v>
      </c>
      <c r="C8" s="73"/>
      <c r="D8" s="73"/>
      <c r="E8" s="73"/>
      <c r="F8" s="73"/>
      <c r="G8" s="74"/>
      <c r="H8" s="12"/>
      <c r="I8" s="14"/>
      <c r="J8" s="8"/>
      <c r="O8" s="11"/>
    </row>
    <row r="9" spans="1:17" ht="15.75" customHeight="1" x14ac:dyDescent="0.3">
      <c r="A9" s="17"/>
      <c r="B9" s="75"/>
      <c r="C9" s="76"/>
      <c r="D9" s="76"/>
      <c r="E9" s="76"/>
      <c r="F9" s="76"/>
      <c r="G9" s="77"/>
      <c r="H9" s="46" t="s">
        <v>10</v>
      </c>
      <c r="I9" s="46"/>
      <c r="J9" s="19"/>
      <c r="K9" s="5"/>
      <c r="O9" s="5"/>
    </row>
    <row r="10" spans="1:17" ht="15.75" customHeight="1" x14ac:dyDescent="0.3">
      <c r="A10" s="17"/>
      <c r="B10" s="75"/>
      <c r="C10" s="76"/>
      <c r="D10" s="76"/>
      <c r="E10" s="76"/>
      <c r="F10" s="76"/>
      <c r="G10" s="77"/>
      <c r="H10" s="84">
        <v>46156</v>
      </c>
      <c r="I10" s="85"/>
      <c r="J10" s="9"/>
      <c r="O10" s="5"/>
      <c r="P10" s="46"/>
      <c r="Q10" s="46"/>
    </row>
    <row r="11" spans="1:17" ht="9.75" customHeight="1" thickBot="1" x14ac:dyDescent="0.35">
      <c r="A11" s="18"/>
      <c r="B11" s="78"/>
      <c r="C11" s="79"/>
      <c r="D11" s="79"/>
      <c r="E11" s="79"/>
      <c r="F11" s="79"/>
      <c r="G11" s="80"/>
      <c r="H11" s="13"/>
      <c r="I11" s="13"/>
      <c r="J11" s="10"/>
    </row>
    <row r="12" spans="1:17" ht="0.75" customHeight="1" thickBot="1" x14ac:dyDescent="0.35">
      <c r="B12" s="4"/>
      <c r="C12" s="5"/>
      <c r="D12" s="5"/>
      <c r="E12" s="6"/>
      <c r="F12" s="5"/>
      <c r="G12" s="5"/>
      <c r="H12">
        <v>2</v>
      </c>
    </row>
    <row r="13" spans="1:17" ht="15.5" x14ac:dyDescent="0.3">
      <c r="A13" s="15" t="s">
        <v>9</v>
      </c>
      <c r="B13" s="21" t="s">
        <v>8</v>
      </c>
      <c r="C13" s="81" t="s">
        <v>7</v>
      </c>
      <c r="D13" s="82"/>
      <c r="E13" s="83"/>
      <c r="F13" s="20" t="s">
        <v>2</v>
      </c>
      <c r="G13" s="7" t="s">
        <v>6</v>
      </c>
      <c r="H13" s="3" t="s">
        <v>5</v>
      </c>
      <c r="I13" s="86" t="s">
        <v>3</v>
      </c>
      <c r="J13" s="86"/>
    </row>
    <row r="14" spans="1:17" x14ac:dyDescent="0.3">
      <c r="A14" s="32" t="s">
        <v>16</v>
      </c>
      <c r="B14" s="34" t="s">
        <v>12</v>
      </c>
      <c r="C14" s="34">
        <v>411.3</v>
      </c>
      <c r="D14" s="34"/>
      <c r="E14" s="34"/>
      <c r="F14" s="34">
        <v>4</v>
      </c>
      <c r="G14" s="35" t="s">
        <v>13</v>
      </c>
      <c r="H14" s="66">
        <v>2.2000000000000002</v>
      </c>
      <c r="I14" s="67">
        <f>SUM(C14*H14)</f>
        <v>904.86000000000013</v>
      </c>
      <c r="J14" s="67"/>
    </row>
    <row r="15" spans="1:17" x14ac:dyDescent="0.3">
      <c r="A15" s="33"/>
      <c r="B15" s="34"/>
      <c r="C15" s="34"/>
      <c r="D15" s="34"/>
      <c r="E15" s="34"/>
      <c r="F15" s="34"/>
      <c r="G15" s="35"/>
      <c r="H15" s="66"/>
      <c r="I15" s="67"/>
      <c r="J15" s="67"/>
    </row>
    <row r="16" spans="1:17" ht="14" customHeight="1" x14ac:dyDescent="0.3">
      <c r="A16" s="32" t="s">
        <v>16</v>
      </c>
      <c r="B16" s="34" t="s">
        <v>14</v>
      </c>
      <c r="C16" s="34">
        <v>430.2</v>
      </c>
      <c r="D16" s="34"/>
      <c r="E16" s="34"/>
      <c r="F16" s="34">
        <v>5</v>
      </c>
      <c r="G16" s="35" t="s">
        <v>13</v>
      </c>
      <c r="H16" s="66">
        <v>2.2000000000000002</v>
      </c>
      <c r="I16" s="67">
        <f t="shared" ref="I16" si="0">SUM(C16*H16)</f>
        <v>946.44</v>
      </c>
      <c r="J16" s="67"/>
    </row>
    <row r="17" spans="1:10" ht="14" customHeight="1" x14ac:dyDescent="0.3">
      <c r="A17" s="33"/>
      <c r="B17" s="34"/>
      <c r="C17" s="34"/>
      <c r="D17" s="34"/>
      <c r="E17" s="34"/>
      <c r="F17" s="34"/>
      <c r="G17" s="35"/>
      <c r="H17" s="66"/>
      <c r="I17" s="67"/>
      <c r="J17" s="67"/>
    </row>
    <row r="18" spans="1:10" x14ac:dyDescent="0.3">
      <c r="A18" s="32" t="s">
        <v>16</v>
      </c>
      <c r="B18" s="34" t="s">
        <v>15</v>
      </c>
      <c r="C18" s="34">
        <v>491</v>
      </c>
      <c r="D18" s="34"/>
      <c r="E18" s="34"/>
      <c r="F18" s="34">
        <v>5</v>
      </c>
      <c r="G18" s="35" t="s">
        <v>13</v>
      </c>
      <c r="H18" s="66">
        <v>2.5</v>
      </c>
      <c r="I18" s="67">
        <f t="shared" ref="I18" si="1">SUM(C18*H18)</f>
        <v>1227.5</v>
      </c>
      <c r="J18" s="67"/>
    </row>
    <row r="19" spans="1:10" x14ac:dyDescent="0.3">
      <c r="A19" s="33"/>
      <c r="B19" s="34"/>
      <c r="C19" s="34"/>
      <c r="D19" s="34"/>
      <c r="E19" s="34"/>
      <c r="F19" s="34"/>
      <c r="G19" s="35"/>
      <c r="H19" s="66"/>
      <c r="I19" s="67"/>
      <c r="J19" s="67"/>
    </row>
    <row r="20" spans="1:10" x14ac:dyDescent="0.3">
      <c r="A20" s="32" t="s">
        <v>18</v>
      </c>
      <c r="B20" s="34" t="s">
        <v>17</v>
      </c>
      <c r="C20" s="34">
        <v>220.7</v>
      </c>
      <c r="D20" s="34"/>
      <c r="E20" s="34"/>
      <c r="F20" s="34">
        <v>4</v>
      </c>
      <c r="G20" s="35" t="s">
        <v>13</v>
      </c>
      <c r="H20" s="66">
        <v>2.2000000000000002</v>
      </c>
      <c r="I20" s="67">
        <f t="shared" ref="I20" si="2">SUM(C20*H20)</f>
        <v>485.54</v>
      </c>
      <c r="J20" s="67"/>
    </row>
    <row r="21" spans="1:10" x14ac:dyDescent="0.3">
      <c r="A21" s="33"/>
      <c r="B21" s="34"/>
      <c r="C21" s="34"/>
      <c r="D21" s="34"/>
      <c r="E21" s="34"/>
      <c r="F21" s="34"/>
      <c r="G21" s="35"/>
      <c r="H21" s="66"/>
      <c r="I21" s="67"/>
      <c r="J21" s="67"/>
    </row>
    <row r="22" spans="1:10" x14ac:dyDescent="0.3">
      <c r="A22" s="32" t="s">
        <v>19</v>
      </c>
      <c r="B22" s="34" t="s">
        <v>14</v>
      </c>
      <c r="C22" s="34">
        <v>607.79999999999995</v>
      </c>
      <c r="D22" s="34"/>
      <c r="E22" s="34"/>
      <c r="F22" s="34">
        <v>6</v>
      </c>
      <c r="G22" s="35" t="s">
        <v>13</v>
      </c>
      <c r="H22" s="66">
        <v>2.2000000000000002</v>
      </c>
      <c r="I22" s="67">
        <f t="shared" ref="I22" si="3">SUM(C22*H22)</f>
        <v>1337.16</v>
      </c>
      <c r="J22" s="67"/>
    </row>
    <row r="23" spans="1:10" x14ac:dyDescent="0.3">
      <c r="A23" s="33"/>
      <c r="B23" s="34"/>
      <c r="C23" s="34"/>
      <c r="D23" s="34"/>
      <c r="E23" s="34"/>
      <c r="F23" s="34"/>
      <c r="G23" s="35"/>
      <c r="H23" s="66"/>
      <c r="I23" s="67"/>
      <c r="J23" s="67"/>
    </row>
    <row r="24" spans="1:10" x14ac:dyDescent="0.3">
      <c r="A24" s="32" t="s">
        <v>20</v>
      </c>
      <c r="B24" s="34" t="s">
        <v>14</v>
      </c>
      <c r="C24" s="34">
        <v>204</v>
      </c>
      <c r="D24" s="34"/>
      <c r="E24" s="34"/>
      <c r="F24" s="34">
        <v>2</v>
      </c>
      <c r="G24" s="35" t="s">
        <v>13</v>
      </c>
      <c r="H24" s="66">
        <v>2.2000000000000002</v>
      </c>
      <c r="I24" s="67">
        <f t="shared" ref="I24" si="4">SUM(C24*H24)</f>
        <v>448.8</v>
      </c>
      <c r="J24" s="67"/>
    </row>
    <row r="25" spans="1:10" x14ac:dyDescent="0.3">
      <c r="A25" s="33"/>
      <c r="B25" s="34"/>
      <c r="C25" s="34"/>
      <c r="D25" s="34"/>
      <c r="E25" s="34"/>
      <c r="F25" s="34"/>
      <c r="G25" s="35"/>
      <c r="H25" s="66"/>
      <c r="I25" s="67"/>
      <c r="J25" s="67"/>
    </row>
    <row r="26" spans="1:10" ht="15.75" customHeight="1" x14ac:dyDescent="0.3">
      <c r="C26" s="68" t="s">
        <v>4</v>
      </c>
      <c r="D26" s="69"/>
      <c r="E26" s="69"/>
      <c r="F26" s="57" t="s">
        <v>2</v>
      </c>
      <c r="I26" s="87" t="s">
        <v>3</v>
      </c>
      <c r="J26" s="88"/>
    </row>
    <row r="27" spans="1:10" ht="15.75" customHeight="1" thickBot="1" x14ac:dyDescent="0.35">
      <c r="C27" s="70"/>
      <c r="D27" s="71"/>
      <c r="E27" s="71"/>
      <c r="F27" s="58"/>
      <c r="I27" s="89"/>
      <c r="J27" s="90"/>
    </row>
    <row r="28" spans="1:10" ht="15.75" customHeight="1" x14ac:dyDescent="0.3">
      <c r="C28" s="61">
        <v>2365</v>
      </c>
      <c r="D28" s="62"/>
      <c r="E28" s="63"/>
      <c r="F28" s="59">
        <v>26</v>
      </c>
      <c r="I28" s="47">
        <v>5350.3</v>
      </c>
      <c r="J28" s="48"/>
    </row>
    <row r="29" spans="1:10" ht="15.75" customHeight="1" thickBot="1" x14ac:dyDescent="0.35">
      <c r="C29" s="64"/>
      <c r="D29" s="65"/>
      <c r="E29" s="58"/>
      <c r="F29" s="60"/>
      <c r="I29" s="49"/>
      <c r="J29" s="50"/>
    </row>
    <row r="31" spans="1:10" ht="14.5" thickBot="1" x14ac:dyDescent="0.35">
      <c r="G31"/>
    </row>
    <row r="32" spans="1:10" ht="15" customHeight="1" x14ac:dyDescent="0.3">
      <c r="E32" s="51" t="s">
        <v>3</v>
      </c>
      <c r="F32" s="52"/>
      <c r="G32" s="52"/>
      <c r="H32" s="53"/>
    </row>
    <row r="33" spans="3:8" ht="15" customHeight="1" x14ac:dyDescent="0.3">
      <c r="E33" s="54"/>
      <c r="F33" s="55"/>
      <c r="G33" s="55"/>
      <c r="H33" s="56"/>
    </row>
    <row r="34" spans="3:8" ht="15" customHeight="1" x14ac:dyDescent="0.3">
      <c r="E34" s="26">
        <v>5350.3</v>
      </c>
      <c r="F34" s="27"/>
      <c r="G34" s="27"/>
      <c r="H34" s="28"/>
    </row>
    <row r="35" spans="3:8" ht="15" customHeight="1" thickBot="1" x14ac:dyDescent="0.35">
      <c r="E35" s="29"/>
      <c r="F35" s="30"/>
      <c r="G35" s="30"/>
      <c r="H35" s="31"/>
    </row>
    <row r="36" spans="3:8" ht="15" customHeight="1" x14ac:dyDescent="0.3">
      <c r="C36" s="22">
        <v>46121</v>
      </c>
      <c r="D36" s="23"/>
      <c r="E36" s="26">
        <v>1450</v>
      </c>
      <c r="F36" s="27"/>
      <c r="G36" s="27"/>
      <c r="H36" s="28"/>
    </row>
    <row r="37" spans="3:8" ht="15" customHeight="1" thickBot="1" x14ac:dyDescent="0.35">
      <c r="C37" s="24"/>
      <c r="D37" s="25"/>
      <c r="E37" s="29"/>
      <c r="F37" s="30"/>
      <c r="G37" s="30"/>
      <c r="H37" s="31"/>
    </row>
    <row r="38" spans="3:8" ht="15" customHeight="1" x14ac:dyDescent="0.3">
      <c r="C38" s="22">
        <v>46153</v>
      </c>
      <c r="D38" s="23"/>
      <c r="E38" s="26">
        <v>2000</v>
      </c>
      <c r="F38" s="27"/>
      <c r="G38" s="27"/>
      <c r="H38" s="28"/>
    </row>
    <row r="39" spans="3:8" ht="15" customHeight="1" thickBot="1" x14ac:dyDescent="0.35">
      <c r="C39" s="24"/>
      <c r="D39" s="25"/>
      <c r="E39" s="29"/>
      <c r="F39" s="30"/>
      <c r="G39" s="30"/>
      <c r="H39" s="31"/>
    </row>
    <row r="40" spans="3:8" ht="15" customHeight="1" x14ac:dyDescent="0.3">
      <c r="C40" s="22">
        <v>46156</v>
      </c>
      <c r="D40" s="23"/>
      <c r="E40" s="26">
        <v>1200</v>
      </c>
      <c r="F40" s="27"/>
      <c r="G40" s="27"/>
      <c r="H40" s="28"/>
    </row>
    <row r="41" spans="3:8" ht="15" customHeight="1" thickBot="1" x14ac:dyDescent="0.35">
      <c r="C41" s="24"/>
      <c r="D41" s="25"/>
      <c r="E41" s="29"/>
      <c r="F41" s="30"/>
      <c r="G41" s="30"/>
      <c r="H41" s="31"/>
    </row>
    <row r="42" spans="3:8" ht="15" customHeight="1" x14ac:dyDescent="0.3">
      <c r="C42" s="36"/>
      <c r="D42" s="37"/>
      <c r="E42" s="40">
        <v>700.3</v>
      </c>
      <c r="F42" s="41"/>
      <c r="G42" s="41"/>
      <c r="H42" s="42"/>
    </row>
    <row r="43" spans="3:8" ht="15" customHeight="1" x14ac:dyDescent="0.3">
      <c r="C43" s="38"/>
      <c r="D43" s="39"/>
      <c r="E43" s="43"/>
      <c r="F43" s="44"/>
      <c r="G43" s="44"/>
      <c r="H43" s="45"/>
    </row>
  </sheetData>
  <mergeCells count="65">
    <mergeCell ref="F22:F23"/>
    <mergeCell ref="C38:D39"/>
    <mergeCell ref="E38:H39"/>
    <mergeCell ref="I26:J27"/>
    <mergeCell ref="H14:H15"/>
    <mergeCell ref="I14:J15"/>
    <mergeCell ref="H16:H17"/>
    <mergeCell ref="I16:J17"/>
    <mergeCell ref="H18:H19"/>
    <mergeCell ref="I18:J19"/>
    <mergeCell ref="H22:H23"/>
    <mergeCell ref="I22:J23"/>
    <mergeCell ref="B5:G7"/>
    <mergeCell ref="B8:G11"/>
    <mergeCell ref="C13:E13"/>
    <mergeCell ref="G24:G25"/>
    <mergeCell ref="P10:Q10"/>
    <mergeCell ref="H10:I10"/>
    <mergeCell ref="I13:J13"/>
    <mergeCell ref="G18:G19"/>
    <mergeCell ref="G20:G21"/>
    <mergeCell ref="G22:G23"/>
    <mergeCell ref="B18:B19"/>
    <mergeCell ref="C18:E19"/>
    <mergeCell ref="F18:F19"/>
    <mergeCell ref="B20:B21"/>
    <mergeCell ref="C20:E21"/>
    <mergeCell ref="F20:F21"/>
    <mergeCell ref="C42:D43"/>
    <mergeCell ref="E42:H43"/>
    <mergeCell ref="H9:I9"/>
    <mergeCell ref="I28:J29"/>
    <mergeCell ref="E32:H33"/>
    <mergeCell ref="E34:H35"/>
    <mergeCell ref="F26:F27"/>
    <mergeCell ref="F28:F29"/>
    <mergeCell ref="C28:E29"/>
    <mergeCell ref="C40:D41"/>
    <mergeCell ref="E40:H41"/>
    <mergeCell ref="H20:H21"/>
    <mergeCell ref="I20:J21"/>
    <mergeCell ref="H24:H25"/>
    <mergeCell ref="I24:J25"/>
    <mergeCell ref="C26:E27"/>
    <mergeCell ref="A14:A15"/>
    <mergeCell ref="B14:B15"/>
    <mergeCell ref="C14:E15"/>
    <mergeCell ref="F14:F15"/>
    <mergeCell ref="G14:G15"/>
    <mergeCell ref="C36:D37"/>
    <mergeCell ref="E36:H37"/>
    <mergeCell ref="A16:A17"/>
    <mergeCell ref="B16:B17"/>
    <mergeCell ref="C16:E17"/>
    <mergeCell ref="F16:F17"/>
    <mergeCell ref="G16:G17"/>
    <mergeCell ref="A18:A19"/>
    <mergeCell ref="A20:A21"/>
    <mergeCell ref="A24:A25"/>
    <mergeCell ref="B24:B25"/>
    <mergeCell ref="C24:E25"/>
    <mergeCell ref="F24:F25"/>
    <mergeCell ref="A22:A23"/>
    <mergeCell ref="B22:B23"/>
    <mergeCell ref="C22:E23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clotex bursa</cp:lastModifiedBy>
  <cp:lastPrinted>2025-09-27T14:13:58Z</cp:lastPrinted>
  <dcterms:created xsi:type="dcterms:W3CDTF">2022-05-24T08:45:35Z</dcterms:created>
  <dcterms:modified xsi:type="dcterms:W3CDTF">2026-05-14T15:31:11Z</dcterms:modified>
</cp:coreProperties>
</file>