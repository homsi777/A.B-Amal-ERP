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30BF9876-FEBC-4005-B1F9-227039B5A9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  <c r="I34" i="1"/>
  <c r="I32" i="1"/>
  <c r="I30" i="1"/>
  <c r="I38" i="1"/>
  <c r="I28" i="1"/>
  <c r="I26" i="1"/>
  <c r="I24" i="1"/>
  <c r="I22" i="1"/>
  <c r="I20" i="1"/>
  <c r="I18" i="1"/>
  <c r="I16" i="1"/>
</calcChain>
</file>

<file path=xl/sharedStrings.xml><?xml version="1.0" encoding="utf-8"?>
<sst xmlns="http://schemas.openxmlformats.org/spreadsheetml/2006/main" count="49" uniqueCount="34">
  <si>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</si>
  <si>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</si>
  <si>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</si>
  <si>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</si>
  <si>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</si>
  <si>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</si>
  <si>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</si>
  <si>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</si>
  <si>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</si>
  <si>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</si>
  <si>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</si>
  <si>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</si>
  <si>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السيد/ة : محمد بكور 2</t>
  </si>
  <si>
    <t>قمصال 181 دوز</t>
  </si>
  <si>
    <t>لوندرا دوز</t>
  </si>
  <si>
    <t>تكستو جاكار3039</t>
  </si>
  <si>
    <t>تكستو جاكار3031</t>
  </si>
  <si>
    <t>تكستو جاكار 3023</t>
  </si>
  <si>
    <t>تكستوجاكار3035</t>
  </si>
  <si>
    <t xml:space="preserve">تكستوجاكار 3034 </t>
  </si>
  <si>
    <t>29\3\2026</t>
  </si>
  <si>
    <t>2\4\2026</t>
  </si>
  <si>
    <t>أوكرانيا ديجيتال</t>
  </si>
  <si>
    <t>تنبل فلام كالين</t>
  </si>
  <si>
    <t>9\4\2026</t>
  </si>
  <si>
    <t>قمصال 133</t>
  </si>
  <si>
    <t>15/4/2026</t>
  </si>
  <si>
    <t>16\4\2026</t>
  </si>
  <si>
    <t>فلام مقلم جديد</t>
  </si>
  <si>
    <t>تنبل فلام</t>
  </si>
  <si>
    <t>زارا لينن</t>
  </si>
  <si>
    <t>15336.99+I42+E48ر+I42+E48ر</t>
  </si>
  <si>
    <t>23\4\2026</t>
  </si>
  <si>
    <t>30\4\2026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</si>
</sst>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8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3" fillId="0" borderId="0" xfId="0" applyFont="1"/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28" xfId="1" applyNumberFormat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66" fontId="3" fillId="4" borderId="29" xfId="1" applyNumberFormat="1" applyFont="1" applyFill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 vertical="center"/>
    </xf>
    <xf numFmtId="14" fontId="0" fillId="6" borderId="21" xfId="0" applyNumberFormat="1" applyFill="1" applyBorder="1" applyAlignment="1">
      <alignment horizontal="center" vertical="center"/>
    </xf>
    <xf numFmtId="14" fontId="0" fillId="6" borderId="32" xfId="0" applyNumberFormat="1" applyFill="1" applyBorder="1" applyAlignment="1">
      <alignment horizontal="center" vertical="center"/>
    </xf>
    <xf numFmtId="14" fontId="0" fillId="6" borderId="33" xfId="0" applyNumberFormat="1" applyFill="1" applyBorder="1" applyAlignment="1">
      <alignment horizontal="center" vertical="center"/>
    </xf>
    <xf numFmtId="166" fontId="3" fillId="6" borderId="30" xfId="1" applyNumberFormat="1" applyFont="1" applyFill="1" applyBorder="1" applyAlignment="1">
      <alignment horizontal="center" vertical="center"/>
    </xf>
    <xf numFmtId="166" fontId="3" fillId="6" borderId="1" xfId="1" applyNumberFormat="1" applyFont="1" applyFill="1" applyBorder="1" applyAlignment="1">
      <alignment horizontal="center" vertical="center"/>
    </xf>
    <xf numFmtId="166" fontId="3" fillId="6" borderId="31" xfId="1" applyNumberFormat="1" applyFont="1" applyFill="1" applyBorder="1" applyAlignment="1">
      <alignment horizontal="center" vertical="center"/>
    </xf>
    <xf numFmtId="166" fontId="3" fillId="6" borderId="28" xfId="1" applyNumberFormat="1" applyFont="1" applyFill="1" applyBorder="1" applyAlignment="1">
      <alignment horizontal="center" vertical="center"/>
    </xf>
    <xf numFmtId="166" fontId="3" fillId="6" borderId="8" xfId="1" applyNumberFormat="1" applyFont="1" applyFill="1" applyBorder="1" applyAlignment="1">
      <alignment horizontal="center" vertical="center"/>
    </xf>
    <xf numFmtId="166" fontId="3" fillId="6" borderId="29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177362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"/>
  <sheetViews>
    <sheetView tabSelected="1" zoomScale="77" zoomScaleNormal="77" zoomScaleSheetLayoutView="100" workbookViewId="0">
      <selection activeCell="H10" sqref="H10:I1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1" spans="1:17" ht="15.5" x14ac:dyDescent="0.35">
      <c r="L1" s="22" t="s">
        <v>31</v>
      </c>
    </row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43" t="s">
        <v>0</v>
      </c>
      <c r="C5" s="43"/>
      <c r="D5" s="43"/>
      <c r="E5" s="43"/>
      <c r="F5" s="43"/>
      <c r="G5" s="43"/>
      <c r="H5" s="2"/>
      <c r="I5" s="2"/>
    </row>
    <row r="6" spans="1:17" ht="15" customHeight="1" x14ac:dyDescent="0.3">
      <c r="B6" s="43"/>
      <c r="C6" s="43"/>
      <c r="D6" s="43"/>
      <c r="E6" s="43"/>
      <c r="F6" s="43"/>
      <c r="G6" s="43"/>
      <c r="H6" s="2"/>
      <c r="I6" s="2"/>
    </row>
    <row r="7" spans="1:17" ht="16" thickBot="1" x14ac:dyDescent="0.35">
      <c r="B7" s="43"/>
      <c r="C7" s="43"/>
      <c r="D7" s="43"/>
      <c r="E7" s="43"/>
      <c r="F7" s="43"/>
      <c r="G7" s="43"/>
      <c r="H7" s="2"/>
      <c r="I7" s="2"/>
      <c r="O7" s="5"/>
    </row>
    <row r="8" spans="1:17" ht="15.75" customHeight="1" x14ac:dyDescent="0.3">
      <c r="A8" s="16"/>
      <c r="B8" s="44" t="s">
        <v>12</v>
      </c>
      <c r="C8" s="45"/>
      <c r="D8" s="45"/>
      <c r="E8" s="45"/>
      <c r="F8" s="45"/>
      <c r="G8" s="46"/>
      <c r="H8" s="12"/>
      <c r="I8" s="14"/>
      <c r="J8" s="8"/>
      <c r="O8" s="11"/>
    </row>
    <row r="9" spans="1:17" ht="15.75" customHeight="1" x14ac:dyDescent="0.3">
      <c r="A9" s="17"/>
      <c r="B9" s="47"/>
      <c r="C9" s="48"/>
      <c r="D9" s="48"/>
      <c r="E9" s="48"/>
      <c r="F9" s="48"/>
      <c r="G9" s="49"/>
      <c r="H9" s="43" t="s">
        <v>10</v>
      </c>
      <c r="I9" s="43"/>
      <c r="J9" s="19"/>
      <c r="K9" s="5"/>
      <c r="O9" s="5"/>
    </row>
    <row r="10" spans="1:17" ht="15.75" customHeight="1" x14ac:dyDescent="0.3">
      <c r="A10" s="17"/>
      <c r="B10" s="47"/>
      <c r="C10" s="48"/>
      <c r="D10" s="48"/>
      <c r="E10" s="48"/>
      <c r="F10" s="48"/>
      <c r="G10" s="49"/>
      <c r="H10" s="82">
        <v>46156</v>
      </c>
      <c r="I10" s="83"/>
      <c r="J10" s="9"/>
      <c r="O10" s="5"/>
      <c r="P10" s="43"/>
      <c r="Q10" s="43"/>
    </row>
    <row r="11" spans="1:17" ht="9.75" customHeight="1" thickBot="1" x14ac:dyDescent="0.35">
      <c r="A11" s="18"/>
      <c r="B11" s="50"/>
      <c r="C11" s="51"/>
      <c r="D11" s="51"/>
      <c r="E11" s="51"/>
      <c r="F11" s="51"/>
      <c r="G11" s="52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53" t="s">
        <v>7</v>
      </c>
      <c r="D13" s="54"/>
      <c r="E13" s="55"/>
      <c r="F13" s="20" t="s">
        <v>2</v>
      </c>
      <c r="G13" s="7" t="s">
        <v>6</v>
      </c>
      <c r="H13" s="3" t="s">
        <v>5</v>
      </c>
      <c r="I13" s="84" t="s">
        <v>3</v>
      </c>
      <c r="J13" s="84"/>
    </row>
    <row r="14" spans="1:17" x14ac:dyDescent="0.3">
      <c r="A14" s="90">
        <v>46096</v>
      </c>
      <c r="B14" s="92" t="s">
        <v>13</v>
      </c>
      <c r="C14" s="92">
        <v>322.89999999999998</v>
      </c>
      <c r="D14" s="92"/>
      <c r="E14" s="92"/>
      <c r="F14" s="92">
        <v>5</v>
      </c>
      <c r="G14" s="77" t="s">
        <v>11</v>
      </c>
      <c r="H14" s="57">
        <v>2</v>
      </c>
      <c r="I14" s="56">
        <v>645.79999999999995</v>
      </c>
      <c r="J14" s="56"/>
    </row>
    <row r="15" spans="1:17" x14ac:dyDescent="0.3">
      <c r="A15" s="91"/>
      <c r="B15" s="92"/>
      <c r="C15" s="92"/>
      <c r="D15" s="92"/>
      <c r="E15" s="92"/>
      <c r="F15" s="92"/>
      <c r="G15" s="77"/>
      <c r="H15" s="57"/>
      <c r="I15" s="56"/>
      <c r="J15" s="56"/>
    </row>
    <row r="16" spans="1:17" ht="14" customHeight="1" x14ac:dyDescent="0.3">
      <c r="A16" s="90">
        <v>46096</v>
      </c>
      <c r="B16" s="92" t="s">
        <v>14</v>
      </c>
      <c r="C16" s="92">
        <v>387.6</v>
      </c>
      <c r="D16" s="92"/>
      <c r="E16" s="92"/>
      <c r="F16" s="92">
        <v>4</v>
      </c>
      <c r="G16" s="77" t="s">
        <v>11</v>
      </c>
      <c r="H16" s="57">
        <v>2.2000000000000002</v>
      </c>
      <c r="I16" s="56">
        <f t="shared" ref="I16" si="0">SUM(C16*H16)</f>
        <v>852.72000000000014</v>
      </c>
      <c r="J16" s="56"/>
    </row>
    <row r="17" spans="1:10" ht="14" customHeight="1" x14ac:dyDescent="0.3">
      <c r="A17" s="91"/>
      <c r="B17" s="92"/>
      <c r="C17" s="92"/>
      <c r="D17" s="92"/>
      <c r="E17" s="92"/>
      <c r="F17" s="92"/>
      <c r="G17" s="77"/>
      <c r="H17" s="57"/>
      <c r="I17" s="56"/>
      <c r="J17" s="56"/>
    </row>
    <row r="18" spans="1:10" ht="14" customHeight="1" x14ac:dyDescent="0.3">
      <c r="A18" s="90">
        <v>46109</v>
      </c>
      <c r="B18" s="92" t="s">
        <v>15</v>
      </c>
      <c r="C18" s="92">
        <v>251.7</v>
      </c>
      <c r="D18" s="92"/>
      <c r="E18" s="92"/>
      <c r="F18" s="92">
        <v>4</v>
      </c>
      <c r="G18" s="77" t="s">
        <v>11</v>
      </c>
      <c r="H18" s="57">
        <v>2.7</v>
      </c>
      <c r="I18" s="56">
        <f t="shared" ref="I18" si="1">SUM(C18*H18)</f>
        <v>679.59</v>
      </c>
      <c r="J18" s="56"/>
    </row>
    <row r="19" spans="1:10" ht="14" customHeight="1" x14ac:dyDescent="0.3">
      <c r="A19" s="91"/>
      <c r="B19" s="92"/>
      <c r="C19" s="92"/>
      <c r="D19" s="92"/>
      <c r="E19" s="92"/>
      <c r="F19" s="92"/>
      <c r="G19" s="77"/>
      <c r="H19" s="57"/>
      <c r="I19" s="56"/>
      <c r="J19" s="56"/>
    </row>
    <row r="20" spans="1:10" ht="15.5" customHeight="1" x14ac:dyDescent="0.3">
      <c r="A20" s="90">
        <v>46109</v>
      </c>
      <c r="B20" s="92" t="s">
        <v>16</v>
      </c>
      <c r="C20" s="92">
        <v>256.5</v>
      </c>
      <c r="D20" s="92"/>
      <c r="E20" s="92"/>
      <c r="F20" s="92">
        <v>4</v>
      </c>
      <c r="G20" s="77" t="s">
        <v>11</v>
      </c>
      <c r="H20" s="57">
        <v>2.7</v>
      </c>
      <c r="I20" s="56">
        <f t="shared" ref="I20" si="2">SUM(C20*H20)</f>
        <v>692.55000000000007</v>
      </c>
      <c r="J20" s="56"/>
    </row>
    <row r="21" spans="1:10" ht="15.5" customHeight="1" x14ac:dyDescent="0.3">
      <c r="A21" s="91"/>
      <c r="B21" s="92"/>
      <c r="C21" s="92"/>
      <c r="D21" s="92"/>
      <c r="E21" s="92"/>
      <c r="F21" s="92"/>
      <c r="G21" s="77"/>
      <c r="H21" s="57"/>
      <c r="I21" s="56"/>
      <c r="J21" s="56"/>
    </row>
    <row r="22" spans="1:10" ht="15.5" customHeight="1" x14ac:dyDescent="0.3">
      <c r="A22" s="90">
        <v>46109</v>
      </c>
      <c r="B22" s="92" t="s">
        <v>17</v>
      </c>
      <c r="C22" s="92">
        <v>272.2</v>
      </c>
      <c r="D22" s="92"/>
      <c r="E22" s="92"/>
      <c r="F22" s="92">
        <v>4</v>
      </c>
      <c r="G22" s="77" t="s">
        <v>11</v>
      </c>
      <c r="H22" s="57">
        <v>2.7</v>
      </c>
      <c r="I22" s="56">
        <f t="shared" ref="I22" si="3">SUM(C22*H22)</f>
        <v>734.94</v>
      </c>
      <c r="J22" s="56"/>
    </row>
    <row r="23" spans="1:10" ht="15.5" customHeight="1" x14ac:dyDescent="0.3">
      <c r="A23" s="91"/>
      <c r="B23" s="92"/>
      <c r="C23" s="92"/>
      <c r="D23" s="92"/>
      <c r="E23" s="92"/>
      <c r="F23" s="92"/>
      <c r="G23" s="77"/>
      <c r="H23" s="57"/>
      <c r="I23" s="56"/>
      <c r="J23" s="56"/>
    </row>
    <row r="24" spans="1:10" ht="15.5" customHeight="1" x14ac:dyDescent="0.3">
      <c r="A24" s="90">
        <v>46109</v>
      </c>
      <c r="B24" s="92" t="s">
        <v>18</v>
      </c>
      <c r="C24" s="92">
        <v>266.60000000000002</v>
      </c>
      <c r="D24" s="92"/>
      <c r="E24" s="92"/>
      <c r="F24" s="92">
        <v>8</v>
      </c>
      <c r="G24" s="77" t="s">
        <v>11</v>
      </c>
      <c r="H24" s="57">
        <v>2.7</v>
      </c>
      <c r="I24" s="56">
        <f t="shared" ref="I24" si="4">SUM(C24*H24)</f>
        <v>719.82000000000016</v>
      </c>
      <c r="J24" s="56"/>
    </row>
    <row r="25" spans="1:10" ht="15.5" customHeight="1" x14ac:dyDescent="0.3">
      <c r="A25" s="91"/>
      <c r="B25" s="92"/>
      <c r="C25" s="92"/>
      <c r="D25" s="92"/>
      <c r="E25" s="92"/>
      <c r="F25" s="92"/>
      <c r="G25" s="77"/>
      <c r="H25" s="57"/>
      <c r="I25" s="56"/>
      <c r="J25" s="56"/>
    </row>
    <row r="26" spans="1:10" ht="15.5" customHeight="1" x14ac:dyDescent="0.3">
      <c r="A26" s="90">
        <v>46109</v>
      </c>
      <c r="B26" s="92" t="s">
        <v>19</v>
      </c>
      <c r="C26" s="92">
        <v>269.10000000000002</v>
      </c>
      <c r="D26" s="92"/>
      <c r="E26" s="92"/>
      <c r="F26" s="92">
        <v>8</v>
      </c>
      <c r="G26" s="77" t="s">
        <v>11</v>
      </c>
      <c r="H26" s="57">
        <v>2.7</v>
      </c>
      <c r="I26" s="56">
        <f t="shared" ref="I26" si="5">SUM(C26*H26)</f>
        <v>726.57000000000016</v>
      </c>
      <c r="J26" s="56"/>
    </row>
    <row r="27" spans="1:10" ht="15.5" customHeight="1" x14ac:dyDescent="0.3">
      <c r="A27" s="91"/>
      <c r="B27" s="92"/>
      <c r="C27" s="92"/>
      <c r="D27" s="92"/>
      <c r="E27" s="92"/>
      <c r="F27" s="92"/>
      <c r="G27" s="77"/>
      <c r="H27" s="57"/>
      <c r="I27" s="56"/>
      <c r="J27" s="56"/>
    </row>
    <row r="28" spans="1:10" ht="15.5" customHeight="1" x14ac:dyDescent="0.3">
      <c r="A28" s="90">
        <v>46116</v>
      </c>
      <c r="B28" s="92" t="s">
        <v>22</v>
      </c>
      <c r="C28" s="92">
        <v>1452.8</v>
      </c>
      <c r="D28" s="92"/>
      <c r="E28" s="92"/>
      <c r="F28" s="92">
        <v>24</v>
      </c>
      <c r="G28" s="77" t="s">
        <v>11</v>
      </c>
      <c r="H28" s="57">
        <v>2.75</v>
      </c>
      <c r="I28" s="56">
        <f t="shared" ref="I28" si="6">SUM(C28*H28)</f>
        <v>3995.2</v>
      </c>
      <c r="J28" s="56"/>
    </row>
    <row r="29" spans="1:10" ht="15.5" customHeight="1" x14ac:dyDescent="0.3">
      <c r="A29" s="91"/>
      <c r="B29" s="92"/>
      <c r="C29" s="92"/>
      <c r="D29" s="92"/>
      <c r="E29" s="92"/>
      <c r="F29" s="92"/>
      <c r="G29" s="77"/>
      <c r="H29" s="57"/>
      <c r="I29" s="56"/>
      <c r="J29" s="56"/>
    </row>
    <row r="30" spans="1:10" ht="15.5" customHeight="1" x14ac:dyDescent="0.3">
      <c r="A30" s="90">
        <v>46116</v>
      </c>
      <c r="B30" s="92" t="s">
        <v>23</v>
      </c>
      <c r="C30" s="92">
        <v>218.2</v>
      </c>
      <c r="D30" s="92"/>
      <c r="E30" s="92"/>
      <c r="F30" s="92">
        <v>2</v>
      </c>
      <c r="G30" s="77" t="s">
        <v>11</v>
      </c>
      <c r="H30" s="57">
        <v>2.9</v>
      </c>
      <c r="I30" s="56">
        <f t="shared" ref="I30" si="7">SUM(C30*H30)</f>
        <v>632.78</v>
      </c>
      <c r="J30" s="56"/>
    </row>
    <row r="31" spans="1:10" ht="15.5" customHeight="1" x14ac:dyDescent="0.3">
      <c r="A31" s="91"/>
      <c r="B31" s="92"/>
      <c r="C31" s="92"/>
      <c r="D31" s="92"/>
      <c r="E31" s="92"/>
      <c r="F31" s="92"/>
      <c r="G31" s="77"/>
      <c r="H31" s="57"/>
      <c r="I31" s="56"/>
      <c r="J31" s="56"/>
    </row>
    <row r="32" spans="1:10" ht="15.5" customHeight="1" x14ac:dyDescent="0.3">
      <c r="A32" s="90" t="s">
        <v>26</v>
      </c>
      <c r="B32" s="92" t="s">
        <v>25</v>
      </c>
      <c r="C32" s="92">
        <v>419.2</v>
      </c>
      <c r="D32" s="92"/>
      <c r="E32" s="92"/>
      <c r="F32" s="92">
        <v>4</v>
      </c>
      <c r="G32" s="77" t="s">
        <v>11</v>
      </c>
      <c r="H32" s="57">
        <v>2.0499999999999998</v>
      </c>
      <c r="I32" s="56">
        <f t="shared" ref="I32" si="8">SUM(C32*H32)</f>
        <v>859.3599999999999</v>
      </c>
      <c r="J32" s="56"/>
    </row>
    <row r="33" spans="1:10" ht="15.5" customHeight="1" x14ac:dyDescent="0.3">
      <c r="A33" s="91"/>
      <c r="B33" s="92"/>
      <c r="C33" s="92"/>
      <c r="D33" s="92"/>
      <c r="E33" s="92"/>
      <c r="F33" s="92"/>
      <c r="G33" s="77"/>
      <c r="H33" s="57"/>
      <c r="I33" s="56"/>
      <c r="J33" s="56"/>
    </row>
    <row r="34" spans="1:10" ht="15.5" customHeight="1" x14ac:dyDescent="0.3">
      <c r="A34" s="90">
        <v>46131</v>
      </c>
      <c r="B34" s="92" t="s">
        <v>28</v>
      </c>
      <c r="C34" s="92">
        <v>409.6</v>
      </c>
      <c r="D34" s="92"/>
      <c r="E34" s="92"/>
      <c r="F34" s="92">
        <v>5</v>
      </c>
      <c r="G34" s="77" t="s">
        <v>11</v>
      </c>
      <c r="H34" s="57">
        <v>2.5</v>
      </c>
      <c r="I34" s="56">
        <f t="shared" ref="I34" si="9">SUM(C34*H34)</f>
        <v>1024</v>
      </c>
      <c r="J34" s="56"/>
    </row>
    <row r="35" spans="1:10" ht="15.5" customHeight="1" x14ac:dyDescent="0.3">
      <c r="A35" s="91"/>
      <c r="B35" s="92"/>
      <c r="C35" s="92"/>
      <c r="D35" s="92"/>
      <c r="E35" s="92"/>
      <c r="F35" s="92"/>
      <c r="G35" s="77"/>
      <c r="H35" s="57"/>
      <c r="I35" s="56"/>
      <c r="J35" s="56"/>
    </row>
    <row r="36" spans="1:10" ht="15.5" customHeight="1" x14ac:dyDescent="0.3">
      <c r="A36" s="90">
        <v>46131</v>
      </c>
      <c r="B36" s="92" t="s">
        <v>29</v>
      </c>
      <c r="C36" s="92">
        <v>200</v>
      </c>
      <c r="D36" s="92"/>
      <c r="E36" s="92"/>
      <c r="F36" s="92">
        <v>2</v>
      </c>
      <c r="G36" s="77" t="s">
        <v>11</v>
      </c>
      <c r="H36" s="57">
        <v>2.9</v>
      </c>
      <c r="I36" s="56">
        <f t="shared" ref="I36" si="10">SUM(C36*H36)</f>
        <v>580</v>
      </c>
      <c r="J36" s="56"/>
    </row>
    <row r="37" spans="1:10" ht="15.5" customHeight="1" x14ac:dyDescent="0.3">
      <c r="A37" s="91"/>
      <c r="B37" s="92"/>
      <c r="C37" s="92"/>
      <c r="D37" s="92"/>
      <c r="E37" s="92"/>
      <c r="F37" s="92"/>
      <c r="G37" s="77"/>
      <c r="H37" s="57"/>
      <c r="I37" s="56"/>
      <c r="J37" s="56"/>
    </row>
    <row r="38" spans="1:10" ht="14" customHeight="1" x14ac:dyDescent="0.3">
      <c r="A38" s="90">
        <v>46131</v>
      </c>
      <c r="B38" s="92" t="s">
        <v>30</v>
      </c>
      <c r="C38" s="92">
        <v>1047.0999999999999</v>
      </c>
      <c r="D38" s="92"/>
      <c r="E38" s="92"/>
      <c r="F38" s="92">
        <v>6</v>
      </c>
      <c r="G38" s="77" t="s">
        <v>11</v>
      </c>
      <c r="H38" s="57">
        <v>3.05</v>
      </c>
      <c r="I38" s="56">
        <f t="shared" ref="I38" si="11">SUM(C38*H38)</f>
        <v>3193.6549999999997</v>
      </c>
      <c r="J38" s="56"/>
    </row>
    <row r="39" spans="1:10" ht="14" customHeight="1" x14ac:dyDescent="0.3">
      <c r="A39" s="91"/>
      <c r="B39" s="92"/>
      <c r="C39" s="92"/>
      <c r="D39" s="92"/>
      <c r="E39" s="92"/>
      <c r="F39" s="92"/>
      <c r="G39" s="77"/>
      <c r="H39" s="57"/>
      <c r="I39" s="56"/>
      <c r="J39" s="56"/>
    </row>
    <row r="40" spans="1:10" ht="15.75" customHeight="1" x14ac:dyDescent="0.3">
      <c r="C40" s="78" t="s">
        <v>4</v>
      </c>
      <c r="D40" s="79"/>
      <c r="E40" s="79"/>
      <c r="F40" s="68" t="s">
        <v>2</v>
      </c>
      <c r="I40" s="85" t="s">
        <v>3</v>
      </c>
      <c r="J40" s="86"/>
    </row>
    <row r="41" spans="1:10" ht="15.75" customHeight="1" thickBot="1" x14ac:dyDescent="0.35">
      <c r="C41" s="80"/>
      <c r="D41" s="81"/>
      <c r="E41" s="81"/>
      <c r="F41" s="69"/>
      <c r="I41" s="87"/>
      <c r="J41" s="88"/>
    </row>
    <row r="42" spans="1:10" ht="15.75" customHeight="1" x14ac:dyDescent="0.3">
      <c r="C42" s="72">
        <v>4116.8</v>
      </c>
      <c r="D42" s="73"/>
      <c r="E42" s="74"/>
      <c r="F42" s="70">
        <v>67</v>
      </c>
      <c r="I42" s="58">
        <v>15336.99</v>
      </c>
      <c r="J42" s="59"/>
    </row>
    <row r="43" spans="1:10" ht="15.75" customHeight="1" thickBot="1" x14ac:dyDescent="0.35">
      <c r="C43" s="75"/>
      <c r="D43" s="76"/>
      <c r="E43" s="69"/>
      <c r="F43" s="71"/>
      <c r="I43" s="60"/>
      <c r="J43" s="61"/>
    </row>
    <row r="45" spans="1:10" ht="14.5" thickBot="1" x14ac:dyDescent="0.35">
      <c r="G45"/>
    </row>
    <row r="46" spans="1:10" ht="15" customHeight="1" x14ac:dyDescent="0.3">
      <c r="E46" s="62" t="s">
        <v>3</v>
      </c>
      <c r="F46" s="63"/>
      <c r="G46" s="63"/>
      <c r="H46" s="64"/>
    </row>
    <row r="47" spans="1:10" ht="15" customHeight="1" x14ac:dyDescent="0.3">
      <c r="E47" s="65"/>
      <c r="F47" s="66"/>
      <c r="G47" s="66"/>
      <c r="H47" s="67"/>
    </row>
    <row r="48" spans="1:10" ht="15" customHeight="1" x14ac:dyDescent="0.3">
      <c r="E48" s="27">
        <v>15336.99</v>
      </c>
      <c r="F48" s="28"/>
      <c r="G48" s="28"/>
      <c r="H48" s="29"/>
    </row>
    <row r="49" spans="3:8" ht="15" customHeight="1" thickBot="1" x14ac:dyDescent="0.35">
      <c r="E49" s="30"/>
      <c r="F49" s="31"/>
      <c r="G49" s="31"/>
      <c r="H49" s="32"/>
    </row>
    <row r="50" spans="3:8" ht="15" customHeight="1" x14ac:dyDescent="0.3">
      <c r="C50" s="23" t="s">
        <v>20</v>
      </c>
      <c r="D50" s="24"/>
      <c r="E50" s="27">
        <v>100</v>
      </c>
      <c r="F50" s="28"/>
      <c r="G50" s="28"/>
      <c r="H50" s="29"/>
    </row>
    <row r="51" spans="3:8" ht="15" customHeight="1" thickBot="1" x14ac:dyDescent="0.35">
      <c r="C51" s="25"/>
      <c r="D51" s="26"/>
      <c r="E51" s="30"/>
      <c r="F51" s="31"/>
      <c r="G51" s="31"/>
      <c r="H51" s="32"/>
    </row>
    <row r="52" spans="3:8" ht="15" customHeight="1" x14ac:dyDescent="0.3">
      <c r="C52" s="23" t="s">
        <v>21</v>
      </c>
      <c r="D52" s="24"/>
      <c r="E52" s="27">
        <v>500</v>
      </c>
      <c r="F52" s="28"/>
      <c r="G52" s="28"/>
      <c r="H52" s="29"/>
    </row>
    <row r="53" spans="3:8" ht="15" customHeight="1" thickBot="1" x14ac:dyDescent="0.35">
      <c r="C53" s="25"/>
      <c r="D53" s="26"/>
      <c r="E53" s="30"/>
      <c r="F53" s="31"/>
      <c r="G53" s="31"/>
      <c r="H53" s="32"/>
    </row>
    <row r="54" spans="3:8" ht="15" customHeight="1" x14ac:dyDescent="0.3">
      <c r="C54" s="23" t="s">
        <v>24</v>
      </c>
      <c r="D54" s="24"/>
      <c r="E54" s="27">
        <v>500</v>
      </c>
      <c r="F54" s="28"/>
      <c r="G54" s="28"/>
      <c r="H54" s="29"/>
    </row>
    <row r="55" spans="3:8" ht="15" customHeight="1" thickBot="1" x14ac:dyDescent="0.35">
      <c r="C55" s="25"/>
      <c r="D55" s="26"/>
      <c r="E55" s="30"/>
      <c r="F55" s="31"/>
      <c r="G55" s="31"/>
      <c r="H55" s="32"/>
    </row>
    <row r="56" spans="3:8" ht="15" customHeight="1" x14ac:dyDescent="0.3">
      <c r="C56" s="23" t="s">
        <v>27</v>
      </c>
      <c r="D56" s="24"/>
      <c r="E56" s="27">
        <v>500</v>
      </c>
      <c r="F56" s="28"/>
      <c r="G56" s="28"/>
      <c r="H56" s="29"/>
    </row>
    <row r="57" spans="3:8" ht="15" customHeight="1" thickBot="1" x14ac:dyDescent="0.35">
      <c r="C57" s="25"/>
      <c r="D57" s="26"/>
      <c r="E57" s="30"/>
      <c r="F57" s="31"/>
      <c r="G57" s="31"/>
      <c r="H57" s="32"/>
    </row>
    <row r="58" spans="3:8" ht="15" customHeight="1" x14ac:dyDescent="0.3">
      <c r="C58" s="23" t="s">
        <v>32</v>
      </c>
      <c r="D58" s="24"/>
      <c r="E58" s="27">
        <v>700</v>
      </c>
      <c r="F58" s="28"/>
      <c r="G58" s="28"/>
      <c r="H58" s="29"/>
    </row>
    <row r="59" spans="3:8" ht="15" customHeight="1" thickBot="1" x14ac:dyDescent="0.35">
      <c r="C59" s="25"/>
      <c r="D59" s="26"/>
      <c r="E59" s="30"/>
      <c r="F59" s="31"/>
      <c r="G59" s="31"/>
      <c r="H59" s="32"/>
    </row>
    <row r="60" spans="3:8" ht="15" customHeight="1" x14ac:dyDescent="0.3">
      <c r="C60" s="23" t="s">
        <v>33</v>
      </c>
      <c r="D60" s="24"/>
      <c r="E60" s="27">
        <v>800</v>
      </c>
      <c r="F60" s="28"/>
      <c r="G60" s="28"/>
      <c r="H60" s="29"/>
    </row>
    <row r="61" spans="3:8" ht="15" customHeight="1" thickBot="1" x14ac:dyDescent="0.35">
      <c r="C61" s="25"/>
      <c r="D61" s="26"/>
      <c r="E61" s="30"/>
      <c r="F61" s="31"/>
      <c r="G61" s="31"/>
      <c r="H61" s="32"/>
    </row>
    <row r="62" spans="3:8" ht="15" customHeight="1" x14ac:dyDescent="0.3">
      <c r="C62" s="89">
        <v>46149</v>
      </c>
      <c r="D62" s="24"/>
      <c r="E62" s="27">
        <v>700</v>
      </c>
      <c r="F62" s="28"/>
      <c r="G62" s="28"/>
      <c r="H62" s="29"/>
    </row>
    <row r="63" spans="3:8" ht="15" customHeight="1" thickBot="1" x14ac:dyDescent="0.35">
      <c r="C63" s="25"/>
      <c r="D63" s="26"/>
      <c r="E63" s="30"/>
      <c r="F63" s="31"/>
      <c r="G63" s="31"/>
      <c r="H63" s="32"/>
    </row>
    <row r="64" spans="3:8" ht="15" customHeight="1" x14ac:dyDescent="0.3">
      <c r="C64" s="89">
        <v>46156</v>
      </c>
      <c r="D64" s="24"/>
      <c r="E64" s="27">
        <v>800</v>
      </c>
      <c r="F64" s="28"/>
      <c r="G64" s="28"/>
      <c r="H64" s="29"/>
    </row>
    <row r="65" spans="3:8" ht="15" customHeight="1" thickBot="1" x14ac:dyDescent="0.35">
      <c r="C65" s="25"/>
      <c r="D65" s="26"/>
      <c r="E65" s="30"/>
      <c r="F65" s="31"/>
      <c r="G65" s="31"/>
      <c r="H65" s="32"/>
    </row>
    <row r="66" spans="3:8" ht="15" customHeight="1" x14ac:dyDescent="0.3">
      <c r="C66" s="33"/>
      <c r="D66" s="34"/>
      <c r="E66" s="37">
        <v>10736.99</v>
      </c>
      <c r="F66" s="38"/>
      <c r="G66" s="38"/>
      <c r="H66" s="39"/>
    </row>
    <row r="67" spans="3:8" ht="15" customHeight="1" x14ac:dyDescent="0.3">
      <c r="C67" s="35"/>
      <c r="D67" s="36"/>
      <c r="E67" s="40"/>
      <c r="F67" s="41"/>
      <c r="G67" s="41"/>
      <c r="H67" s="42"/>
    </row>
  </sheetData>
  <mergeCells count="124">
    <mergeCell ref="F32:F33"/>
    <mergeCell ref="G32:G33"/>
    <mergeCell ref="C62:D63"/>
    <mergeCell ref="E62:H63"/>
    <mergeCell ref="A28:A29"/>
    <mergeCell ref="B28:B29"/>
    <mergeCell ref="C58:D59"/>
    <mergeCell ref="E58:H59"/>
    <mergeCell ref="C28:E29"/>
    <mergeCell ref="F28:F29"/>
    <mergeCell ref="H36:H37"/>
    <mergeCell ref="I36:J37"/>
    <mergeCell ref="A36:A37"/>
    <mergeCell ref="B36:B37"/>
    <mergeCell ref="C36:E37"/>
    <mergeCell ref="F36:F37"/>
    <mergeCell ref="G36:G37"/>
    <mergeCell ref="I32:J33"/>
    <mergeCell ref="A34:A35"/>
    <mergeCell ref="B34:B35"/>
    <mergeCell ref="C34:E35"/>
    <mergeCell ref="F34:F35"/>
    <mergeCell ref="G34:G35"/>
    <mergeCell ref="H34:H35"/>
    <mergeCell ref="I34:J35"/>
    <mergeCell ref="A32:A33"/>
    <mergeCell ref="B32:B33"/>
    <mergeCell ref="C32:E33"/>
    <mergeCell ref="G22:G23"/>
    <mergeCell ref="A20:A21"/>
    <mergeCell ref="B20:B21"/>
    <mergeCell ref="C20:E21"/>
    <mergeCell ref="F20:F21"/>
    <mergeCell ref="G20:G21"/>
    <mergeCell ref="A38:A39"/>
    <mergeCell ref="B38:B39"/>
    <mergeCell ref="C38:E39"/>
    <mergeCell ref="F38:F39"/>
    <mergeCell ref="G38:G39"/>
    <mergeCell ref="A24:A25"/>
    <mergeCell ref="B24:B25"/>
    <mergeCell ref="C24:E25"/>
    <mergeCell ref="F24:F25"/>
    <mergeCell ref="G24:G25"/>
    <mergeCell ref="A26:A27"/>
    <mergeCell ref="B26:B27"/>
    <mergeCell ref="C26:E27"/>
    <mergeCell ref="F26:F27"/>
    <mergeCell ref="A30:A31"/>
    <mergeCell ref="B30:B31"/>
    <mergeCell ref="C30:E31"/>
    <mergeCell ref="F30:F31"/>
    <mergeCell ref="E52:H53"/>
    <mergeCell ref="G26:G27"/>
    <mergeCell ref="H26:H27"/>
    <mergeCell ref="H32:H33"/>
    <mergeCell ref="H22:H23"/>
    <mergeCell ref="A14:A15"/>
    <mergeCell ref="B14:B15"/>
    <mergeCell ref="C14:E15"/>
    <mergeCell ref="F14:F15"/>
    <mergeCell ref="G14:G15"/>
    <mergeCell ref="A16:A17"/>
    <mergeCell ref="B16:B17"/>
    <mergeCell ref="C16:E17"/>
    <mergeCell ref="F16:F17"/>
    <mergeCell ref="G16:G17"/>
    <mergeCell ref="A18:A19"/>
    <mergeCell ref="B18:B19"/>
    <mergeCell ref="C18:E19"/>
    <mergeCell ref="F18:F19"/>
    <mergeCell ref="G18:G19"/>
    <mergeCell ref="A22:A23"/>
    <mergeCell ref="B22:B23"/>
    <mergeCell ref="C22:E23"/>
    <mergeCell ref="F22:F23"/>
    <mergeCell ref="C50:D51"/>
    <mergeCell ref="E50:H51"/>
    <mergeCell ref="G30:G31"/>
    <mergeCell ref="H30:H31"/>
    <mergeCell ref="E64:H65"/>
    <mergeCell ref="P10:Q10"/>
    <mergeCell ref="C40:E41"/>
    <mergeCell ref="H10:I10"/>
    <mergeCell ref="I13:J13"/>
    <mergeCell ref="I40:J41"/>
    <mergeCell ref="H38:H39"/>
    <mergeCell ref="I38:J39"/>
    <mergeCell ref="H14:H15"/>
    <mergeCell ref="I14:J15"/>
    <mergeCell ref="H16:H17"/>
    <mergeCell ref="I16:J17"/>
    <mergeCell ref="H18:H19"/>
    <mergeCell ref="I18:J19"/>
    <mergeCell ref="H20:H21"/>
    <mergeCell ref="I20:J21"/>
    <mergeCell ref="C64:D65"/>
    <mergeCell ref="I30:J31"/>
    <mergeCell ref="G28:G29"/>
    <mergeCell ref="C52:D53"/>
    <mergeCell ref="C60:D61"/>
    <mergeCell ref="E60:H61"/>
    <mergeCell ref="C56:D57"/>
    <mergeCell ref="E56:H57"/>
    <mergeCell ref="C66:D67"/>
    <mergeCell ref="E66:H67"/>
    <mergeCell ref="B5:G7"/>
    <mergeCell ref="B8:G11"/>
    <mergeCell ref="C13:E13"/>
    <mergeCell ref="H9:I9"/>
    <mergeCell ref="I22:J23"/>
    <mergeCell ref="H24:H25"/>
    <mergeCell ref="I24:J25"/>
    <mergeCell ref="I42:J43"/>
    <mergeCell ref="E46:H47"/>
    <mergeCell ref="E48:H49"/>
    <mergeCell ref="F40:F41"/>
    <mergeCell ref="F42:F43"/>
    <mergeCell ref="C42:E43"/>
    <mergeCell ref="C54:D55"/>
    <mergeCell ref="E54:H55"/>
    <mergeCell ref="I26:J27"/>
    <mergeCell ref="H28:H29"/>
    <mergeCell ref="I28:J29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2026-01-01T12:56:13Z</cp:lastPrinted>
  <dcterms:created xsi:type="dcterms:W3CDTF">2022-05-24T08:45:35Z</dcterms:created>
  <dcterms:modified xsi:type="dcterms:W3CDTF">2026-05-14T15:22:11Z</dcterms:modified>
</cp:coreProperties>
</file>